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2\Documents\RELATÓRIOS\"/>
    </mc:Choice>
  </mc:AlternateContent>
  <bookViews>
    <workbookView xWindow="0" yWindow="0" windowWidth="20430" windowHeight="7590" firstSheet="1" activeTab="6"/>
  </bookViews>
  <sheets>
    <sheet name="Listas" sheetId="1" state="hidden" r:id="rId1"/>
    <sheet name="Capa" sheetId="2" r:id="rId2"/>
    <sheet name="Instruções_CRM" sheetId="3" r:id="rId3"/>
    <sheet name="Pipeline" sheetId="4" r:id="rId4"/>
    <sheet name="KPIs_Comerciais" sheetId="5" r:id="rId5"/>
    <sheet name="Comparativo_Semanas" sheetId="6" r:id="rId6"/>
    <sheet name="Dashboard" sheetId="7" r:id="rId7"/>
  </sheets>
  <externalReferences>
    <externalReference r:id="rId8"/>
    <externalReference r:id="rId9"/>
    <externalReference r:id="rId10"/>
    <externalReference r:id="rId11"/>
  </externalReferences>
  <definedNames>
    <definedName name="_xlnm._FilterDatabase" localSheetId="3" hidden="1">Pipeline!$A$1:$R$112</definedName>
  </definedNames>
  <calcPr calcId="162913" forceFullCalc="1"/>
</workbook>
</file>

<file path=xl/calcChain.xml><?xml version="1.0" encoding="utf-8"?>
<calcChain xmlns="http://schemas.openxmlformats.org/spreadsheetml/2006/main">
  <c r="B5" i="5" l="1"/>
  <c r="H112" i="4"/>
  <c r="G112" i="4"/>
  <c r="F112" i="4"/>
  <c r="N109" i="4"/>
  <c r="N110" i="4"/>
  <c r="N107" i="4"/>
  <c r="N108" i="4"/>
  <c r="N103" i="4"/>
  <c r="N104" i="4"/>
  <c r="N105" i="4"/>
  <c r="N106" i="4"/>
  <c r="O111" i="4"/>
  <c r="N111" i="4"/>
  <c r="O110" i="4"/>
  <c r="O109" i="4"/>
  <c r="O108" i="4"/>
  <c r="O107" i="4"/>
  <c r="R106" i="4"/>
  <c r="Q106" i="4"/>
  <c r="O106" i="4"/>
  <c r="R105" i="4"/>
  <c r="Q105" i="4"/>
  <c r="O105" i="4"/>
  <c r="R104" i="4"/>
  <c r="Q104" i="4"/>
  <c r="O104" i="4"/>
  <c r="R103" i="4"/>
  <c r="Q103" i="4"/>
  <c r="O103" i="4"/>
  <c r="N102" i="4"/>
  <c r="O100" i="4"/>
  <c r="O101" i="4"/>
  <c r="N99" i="4"/>
  <c r="N100" i="4"/>
  <c r="N101" i="4"/>
  <c r="O99" i="4"/>
  <c r="O98" i="4"/>
  <c r="N98" i="4"/>
  <c r="O97" i="4"/>
  <c r="N97" i="4"/>
  <c r="O96" i="4"/>
  <c r="N96" i="4"/>
  <c r="O95" i="4"/>
  <c r="N95" i="4"/>
  <c r="O94" i="4"/>
  <c r="N94" i="4"/>
  <c r="O93" i="4"/>
  <c r="N93" i="4"/>
  <c r="R92" i="4"/>
  <c r="Q92" i="4"/>
  <c r="O92" i="4"/>
  <c r="N92" i="4"/>
  <c r="R91" i="4"/>
  <c r="Q91" i="4"/>
  <c r="O91" i="4"/>
  <c r="N91" i="4"/>
  <c r="O89" i="4"/>
  <c r="N89" i="4"/>
  <c r="O88" i="4"/>
  <c r="N88" i="4"/>
  <c r="O87" i="4"/>
  <c r="N87" i="4"/>
  <c r="R86" i="4"/>
  <c r="Q86" i="4"/>
  <c r="O86" i="4"/>
  <c r="N86" i="4"/>
  <c r="R85" i="4"/>
  <c r="Q85" i="4"/>
  <c r="O85" i="4"/>
  <c r="N85" i="4"/>
  <c r="R84" i="4"/>
  <c r="Q84" i="4"/>
  <c r="O84" i="4"/>
  <c r="N84" i="4"/>
  <c r="N79" i="4"/>
  <c r="O81" i="4"/>
  <c r="N81" i="4"/>
  <c r="O80" i="4"/>
  <c r="N80" i="4"/>
  <c r="O79" i="4"/>
  <c r="O78" i="4"/>
  <c r="N78" i="4"/>
  <c r="O77" i="4"/>
  <c r="N77" i="4"/>
  <c r="O76" i="4"/>
  <c r="N76" i="4"/>
  <c r="O75" i="4"/>
  <c r="N75" i="4"/>
  <c r="R74" i="4"/>
  <c r="Q74" i="4"/>
  <c r="O74" i="4"/>
  <c r="N74" i="4"/>
  <c r="R73" i="4"/>
  <c r="Q73" i="4"/>
  <c r="O73" i="4"/>
  <c r="N73" i="4"/>
  <c r="R72" i="4"/>
  <c r="Q72" i="4"/>
  <c r="O72" i="4"/>
  <c r="N72" i="4"/>
  <c r="O66" i="4" l="1"/>
  <c r="N66" i="4"/>
  <c r="O65" i="4"/>
  <c r="N65" i="4"/>
  <c r="O64" i="4"/>
  <c r="N64" i="4"/>
  <c r="O63" i="4"/>
  <c r="N63" i="4"/>
  <c r="O62" i="4"/>
  <c r="N62" i="4"/>
  <c r="O61" i="4"/>
  <c r="N61" i="4"/>
  <c r="O60" i="4"/>
  <c r="N60" i="4"/>
  <c r="D9" i="5"/>
  <c r="E9" i="5"/>
  <c r="I9" i="5"/>
  <c r="K9" i="5"/>
  <c r="D10" i="5"/>
  <c r="E10" i="5"/>
  <c r="I10" i="5"/>
  <c r="K10" i="5"/>
  <c r="O59" i="4"/>
  <c r="N59" i="4"/>
  <c r="O58" i="4"/>
  <c r="N58" i="4"/>
  <c r="O57" i="4"/>
  <c r="N57" i="4"/>
  <c r="O56" i="4"/>
  <c r="N56" i="4"/>
  <c r="O55" i="4"/>
  <c r="N55" i="4"/>
  <c r="N54" i="4"/>
  <c r="O54" i="4"/>
  <c r="Q54" i="4"/>
  <c r="R54" i="4"/>
  <c r="R53" i="4"/>
  <c r="Q53" i="4"/>
  <c r="O53" i="4"/>
  <c r="N53" i="4"/>
  <c r="R52" i="4"/>
  <c r="Q52" i="4"/>
  <c r="O52" i="4"/>
  <c r="N52" i="4"/>
  <c r="O50" i="4"/>
  <c r="N50" i="4"/>
  <c r="O49" i="4"/>
  <c r="N49" i="4"/>
  <c r="O48" i="4"/>
  <c r="N48" i="4"/>
  <c r="O47" i="4"/>
  <c r="N47" i="4"/>
  <c r="O46" i="4"/>
  <c r="N46" i="4"/>
  <c r="O45" i="4"/>
  <c r="N45" i="4"/>
  <c r="O44" i="4"/>
  <c r="N44" i="4"/>
  <c r="O43" i="4"/>
  <c r="N43" i="4"/>
  <c r="O42" i="4"/>
  <c r="N42" i="4"/>
  <c r="O41" i="4"/>
  <c r="N41" i="4"/>
  <c r="O40" i="4"/>
  <c r="N40" i="4"/>
  <c r="O39" i="4"/>
  <c r="N39" i="4"/>
  <c r="O38" i="4"/>
  <c r="N38" i="4"/>
  <c r="O37" i="4"/>
  <c r="N37" i="4"/>
  <c r="O36" i="4"/>
  <c r="N36" i="4"/>
  <c r="O35" i="4"/>
  <c r="N35" i="4"/>
  <c r="O34" i="4"/>
  <c r="N34" i="4"/>
  <c r="O33" i="4"/>
  <c r="N33" i="4"/>
  <c r="R32" i="4"/>
  <c r="Q32" i="4"/>
  <c r="O32" i="4"/>
  <c r="N32" i="4"/>
  <c r="R31" i="4"/>
  <c r="Q31" i="4"/>
  <c r="O31" i="4"/>
  <c r="N31" i="4"/>
  <c r="R30" i="4"/>
  <c r="Q30" i="4"/>
  <c r="O30" i="4"/>
  <c r="N30" i="4"/>
  <c r="R29" i="4"/>
  <c r="Q29" i="4"/>
  <c r="O29" i="4"/>
  <c r="N29" i="4"/>
  <c r="R28" i="4"/>
  <c r="Q28" i="4"/>
  <c r="O28" i="4"/>
  <c r="N28" i="4"/>
  <c r="R27" i="4"/>
  <c r="Q27" i="4"/>
  <c r="O27" i="4"/>
  <c r="N27" i="4"/>
  <c r="O24" i="4" l="1"/>
  <c r="N24" i="4"/>
  <c r="O23" i="4"/>
  <c r="N23" i="4"/>
  <c r="O22" i="4"/>
  <c r="N22" i="4"/>
  <c r="O21" i="4"/>
  <c r="N21" i="4"/>
  <c r="O20" i="4"/>
  <c r="N20" i="4"/>
  <c r="O26" i="4" l="1"/>
  <c r="N26" i="4"/>
  <c r="O25" i="4"/>
  <c r="N25" i="4"/>
  <c r="N15" i="4" l="1"/>
  <c r="O19" i="4"/>
  <c r="N19" i="4"/>
  <c r="O18" i="4"/>
  <c r="N18" i="4"/>
  <c r="O17" i="4"/>
  <c r="N17" i="4"/>
  <c r="O16" i="4"/>
  <c r="N16" i="4"/>
  <c r="O15" i="4"/>
  <c r="R14" i="4"/>
  <c r="Q14" i="4"/>
  <c r="O14" i="4"/>
  <c r="N14" i="4"/>
  <c r="R13" i="4"/>
  <c r="Q13" i="4"/>
  <c r="O13" i="4"/>
  <c r="N13" i="4"/>
  <c r="R12" i="4"/>
  <c r="Q12" i="4"/>
  <c r="O12" i="4"/>
  <c r="N12" i="4"/>
  <c r="R11" i="4"/>
  <c r="Q11" i="4"/>
  <c r="O11" i="4"/>
  <c r="N11" i="4"/>
  <c r="R10" i="4"/>
  <c r="Q10" i="4"/>
  <c r="O10" i="4"/>
  <c r="N10" i="4"/>
  <c r="Q6" i="4" l="1"/>
  <c r="Q7" i="4"/>
  <c r="O5" i="4"/>
  <c r="D5" i="6" l="1"/>
  <c r="R90" i="4"/>
  <c r="Q90" i="4"/>
  <c r="O90" i="4"/>
  <c r="N90" i="4"/>
  <c r="R83" i="4"/>
  <c r="Q83" i="4"/>
  <c r="O83" i="4"/>
  <c r="N83" i="4"/>
  <c r="R82" i="4"/>
  <c r="Q82" i="4"/>
  <c r="O82" i="4"/>
  <c r="N82" i="4"/>
  <c r="R71" i="4"/>
  <c r="Q71" i="4"/>
  <c r="O71" i="4"/>
  <c r="N71" i="4"/>
  <c r="R69" i="4"/>
  <c r="Q69" i="4"/>
  <c r="O69" i="4"/>
  <c r="N69" i="4"/>
  <c r="R68" i="4"/>
  <c r="Q68" i="4"/>
  <c r="O68" i="4"/>
  <c r="N68" i="4"/>
  <c r="R67" i="4"/>
  <c r="Q67" i="4"/>
  <c r="O67" i="4"/>
  <c r="N67" i="4"/>
  <c r="R51" i="4"/>
  <c r="J10" i="5" s="1"/>
  <c r="Q51" i="4"/>
  <c r="L10" i="5" s="1"/>
  <c r="O51" i="4"/>
  <c r="F10" i="5" s="1"/>
  <c r="M26" i="7" s="1"/>
  <c r="N51" i="4"/>
  <c r="N8" i="4"/>
  <c r="O8" i="4"/>
  <c r="Q8" i="4"/>
  <c r="R8" i="4"/>
  <c r="N9" i="4"/>
  <c r="O9" i="4"/>
  <c r="Q9" i="4"/>
  <c r="R9" i="4"/>
  <c r="B8" i="5" l="1"/>
  <c r="A5" i="7" l="1"/>
  <c r="C10" i="6"/>
  <c r="C10" i="5"/>
  <c r="H10" i="5" s="1"/>
  <c r="M10" i="5" s="1"/>
  <c r="C8" i="5"/>
  <c r="C7" i="5"/>
  <c r="R3" i="4" l="1"/>
  <c r="R4" i="4"/>
  <c r="R5" i="4"/>
  <c r="Q3" i="4"/>
  <c r="Q4" i="4"/>
  <c r="Q5" i="4"/>
  <c r="O3" i="4"/>
  <c r="O6" i="4"/>
  <c r="N3" i="4"/>
  <c r="N4" i="4"/>
  <c r="N5" i="4"/>
  <c r="B10" i="5" l="1"/>
  <c r="G10" i="5" s="1"/>
  <c r="K14" i="7" l="1"/>
  <c r="N6" i="4" l="1"/>
  <c r="B10" i="6" l="1"/>
  <c r="J27" i="7" l="1"/>
  <c r="J26" i="7"/>
  <c r="J25" i="7"/>
  <c r="J24" i="7"/>
  <c r="J23" i="7"/>
  <c r="J22" i="7"/>
  <c r="J21" i="7"/>
  <c r="K17" i="7"/>
  <c r="K16" i="7"/>
  <c r="K15" i="7"/>
  <c r="G9" i="7"/>
  <c r="C9" i="7"/>
  <c r="E5" i="7"/>
  <c r="C5" i="7"/>
  <c r="D9" i="6"/>
  <c r="D8" i="6"/>
  <c r="D7" i="6"/>
  <c r="D6" i="6"/>
  <c r="K11" i="5"/>
  <c r="I11" i="5"/>
  <c r="E11" i="5"/>
  <c r="D11" i="5"/>
  <c r="L27" i="7" s="1"/>
  <c r="C11" i="5"/>
  <c r="B11" i="5"/>
  <c r="L26" i="7"/>
  <c r="K26" i="7"/>
  <c r="L25" i="7"/>
  <c r="C9" i="5"/>
  <c r="H9" i="5" s="1"/>
  <c r="M9" i="5" s="1"/>
  <c r="B9" i="5"/>
  <c r="K8" i="5"/>
  <c r="I8" i="5"/>
  <c r="E8" i="5"/>
  <c r="D8" i="5"/>
  <c r="L24" i="7" s="1"/>
  <c r="G8" i="5"/>
  <c r="K7" i="5"/>
  <c r="I7" i="5"/>
  <c r="E7" i="5"/>
  <c r="D7" i="5"/>
  <c r="L23" i="7" s="1"/>
  <c r="B7" i="5"/>
  <c r="G7" i="5" s="1"/>
  <c r="K6" i="5"/>
  <c r="I6" i="5"/>
  <c r="E6" i="5"/>
  <c r="D6" i="5"/>
  <c r="L22" i="7" s="1"/>
  <c r="C6" i="5"/>
  <c r="B6" i="5"/>
  <c r="K5" i="5"/>
  <c r="I5" i="5"/>
  <c r="E5" i="5"/>
  <c r="D5" i="5"/>
  <c r="C5" i="5"/>
  <c r="F8" i="5"/>
  <c r="R7" i="4"/>
  <c r="O7" i="4"/>
  <c r="N7" i="4"/>
  <c r="R6" i="4"/>
  <c r="R2" i="4"/>
  <c r="Q2" i="4"/>
  <c r="L9" i="5" s="1"/>
  <c r="O2" i="4"/>
  <c r="N2" i="4"/>
  <c r="D10" i="6" l="1"/>
  <c r="J9" i="5"/>
  <c r="G9" i="5"/>
  <c r="L21" i="7"/>
  <c r="D12" i="5"/>
  <c r="B12" i="5"/>
  <c r="K12" i="5"/>
  <c r="F11" i="5"/>
  <c r="M27" i="7" s="1"/>
  <c r="L11" i="5"/>
  <c r="J11" i="5"/>
  <c r="C12" i="5"/>
  <c r="L6" i="5"/>
  <c r="L8" i="5"/>
  <c r="J8" i="5"/>
  <c r="M24" i="7"/>
  <c r="F5" i="5"/>
  <c r="J7" i="5"/>
  <c r="F6" i="5"/>
  <c r="M22" i="7" s="1"/>
  <c r="L7" i="5"/>
  <c r="E9" i="7"/>
  <c r="L5" i="5"/>
  <c r="J5" i="5"/>
  <c r="G11" i="5"/>
  <c r="G5" i="7"/>
  <c r="E12" i="5"/>
  <c r="J6" i="5"/>
  <c r="I12" i="5"/>
  <c r="G6" i="5"/>
  <c r="G5" i="5"/>
  <c r="H5" i="5"/>
  <c r="M5" i="5" s="1"/>
  <c r="H6" i="5"/>
  <c r="M6" i="5" s="1"/>
  <c r="H7" i="5"/>
  <c r="M7" i="5" s="1"/>
  <c r="H8" i="5"/>
  <c r="M8" i="5" s="1"/>
  <c r="H11" i="5"/>
  <c r="M11" i="5" s="1"/>
  <c r="K21" i="7"/>
  <c r="K22" i="7"/>
  <c r="K23" i="7"/>
  <c r="K24" i="7"/>
  <c r="K25" i="7"/>
  <c r="K27" i="7"/>
  <c r="M21" i="7" l="1"/>
  <c r="J12" i="5"/>
  <c r="H12" i="5"/>
  <c r="L12" i="5"/>
  <c r="G12" i="5"/>
  <c r="F7" i="5" l="1"/>
  <c r="M23" i="7" l="1"/>
  <c r="A9" i="7"/>
  <c r="O112" i="4"/>
  <c r="O4" i="4"/>
  <c r="F9" i="5"/>
  <c r="F12" i="5"/>
</calcChain>
</file>

<file path=xl/comments1.xml><?xml version="1.0" encoding="utf-8"?>
<comments xmlns="http://schemas.openxmlformats.org/spreadsheetml/2006/main">
  <authors>
    <author>OpenAI</author>
  </authors>
  <commentList>
    <comment ref="F1" authorId="0" shapeId="0">
      <text>
        <r>
          <rPr>
            <sz val="11"/>
            <color theme="1"/>
            <rFont val="Calibri"/>
            <family val="2"/>
            <scheme val="minor"/>
          </rPr>
          <t>Valor bruto da proposta em Kz. Fonte: relatório semanal 02–06/03/2026.</t>
        </r>
      </text>
    </comment>
    <comment ref="O1" authorId="0" shapeId="0">
      <text>
        <r>
          <rPr>
            <sz val="11"/>
            <color theme="1"/>
            <rFont val="Calibri"/>
            <family val="2"/>
            <scheme val="minor"/>
          </rPr>
          <t>Valor ponderado = Valor proposta × Probabilidade.</t>
        </r>
      </text>
    </comment>
  </commentList>
</comments>
</file>

<file path=xl/sharedStrings.xml><?xml version="1.0" encoding="utf-8"?>
<sst xmlns="http://schemas.openxmlformats.org/spreadsheetml/2006/main" count="1021" uniqueCount="383">
  <si>
    <t>Albertina Tumba</t>
  </si>
  <si>
    <t>Proposta enviada</t>
  </si>
  <si>
    <t>A</t>
  </si>
  <si>
    <t>Amélia Cassinda</t>
  </si>
  <si>
    <t>Proposta em negociação</t>
  </si>
  <si>
    <t>B</t>
  </si>
  <si>
    <t>David Guedes</t>
  </si>
  <si>
    <t>Proposta aprovada</t>
  </si>
  <si>
    <t>C</t>
  </si>
  <si>
    <t>Elizabete Miguel</t>
  </si>
  <si>
    <t>Perdida</t>
  </si>
  <si>
    <t>Luísa Baltazar</t>
  </si>
  <si>
    <t>Produção / Entrega</t>
  </si>
  <si>
    <t>Marta de Oliveira</t>
  </si>
  <si>
    <t>Regina Pompilho</t>
  </si>
  <si>
    <t>GPA ANGOLA
CRM COMERCIAL COMPLETO</t>
  </si>
  <si>
    <t>Pipeline, KPIs, dashboard, instruções de registo e análise comercial automática</t>
  </si>
  <si>
    <t>1. PIPELINE
Registo integral das propostas, responsáveis, datas, probabilidade, prioridade e valor ponderado.</t>
  </si>
  <si>
    <t>2. KPI COMERCIAL
Taxas de conversão, ticket médio, negócios aprovados, contactos da semana e ranking por comercial.</t>
  </si>
  <si>
    <t>3. DASHBOARD
Gráficos automáticos, leitura executiva e indicadores de controlo.</t>
  </si>
  <si>
    <t>4. INSTRUÇÕES CRM
Normas de preenchimento, cadência de follow-up e responsabilidades comerciais.</t>
  </si>
  <si>
    <t>INSTRUÇÕES DE REGISTO NO CRM</t>
  </si>
  <si>
    <t>1. Objectivo</t>
  </si>
  <si>
    <t>Registar todas as oportunidades comerciais com rigor, permitindo controlo do pipeline, previsibilidade de fecho e responsabilização individual.</t>
  </si>
  <si>
    <t>2. Quando registar</t>
  </si>
  <si>
    <t>Toda a proposta deve ser lançada no próprio dia do envio ao cliente. Cada novo contacto, negociação, alteração de probabilidade ou aprovação deve actualizar imediatamente a linha correspondente.</t>
  </si>
  <si>
    <t>3. Campos obrigatórios</t>
  </si>
  <si>
    <t>Data de envio, cliente, serviço, estado da proposta, valor, probabilidade, gestor comercial, próxima acção, próximo contacto e observações objectivas.</t>
  </si>
  <si>
    <t>4. Regras de probabilidade</t>
  </si>
  <si>
    <t>40% = proposta enviada sem validação; 50% = proposta acompanhada; 60% = cliente em análise activa; 75% = negociação final; 100% = aprovado / adjudicado.</t>
  </si>
  <si>
    <t>5. Regra de follow-up</t>
  </si>
  <si>
    <t>Nenhuma proposta pode ficar apenas com a nota 'aguardamos feedback'. Deve sempre existir próxima acção concreta e data específica de contacto.</t>
  </si>
  <si>
    <t>6. Classe do cliente</t>
  </si>
  <si>
    <t>Classe A = conta estratégica / grande volume; Classe B = cliente recorrente; Classe C = cliente ocasional ou pequeno ticket.</t>
  </si>
  <si>
    <t>7. Prioridade</t>
  </si>
  <si>
    <t>Alta = negócios ≥ 50.000.000 Kz ou probabilidade ≥ 75%; Média = negócios ≥ 5.000.000 Kz ou probabilidade ≥ 50%; Normal = restantes casos.</t>
  </si>
  <si>
    <t>8. Estado CRM</t>
  </si>
  <si>
    <t>Aberto = proposta enviada ou em negociação; Fechado ganho = aprovado / produção; Fechado perdido = perdida.</t>
  </si>
  <si>
    <t>9. Responsabilidade do comercial</t>
  </si>
  <si>
    <t>Cada gestor responde pela actualização semanal da sua carteira, qualidade da informação, precisão da probabilidade e fecho dos dossiers sob sua gestão.</t>
  </si>
  <si>
    <t>10. Observação de controlo</t>
  </si>
  <si>
    <t>O relatório de origem apresenta divergência entre o número de pedidos declarado (31) e o total de linhas individuais detectadas (33). O CRM regista as 33 linhas visíveis para garantir rastreabilidade.</t>
  </si>
  <si>
    <t>ID</t>
  </si>
  <si>
    <t>Data envio</t>
  </si>
  <si>
    <t>Cliente</t>
  </si>
  <si>
    <t>Serviço</t>
  </si>
  <si>
    <t>Estado proposta</t>
  </si>
  <si>
    <t>Valor proposta</t>
  </si>
  <si>
    <t>Valor aprovado</t>
  </si>
  <si>
    <t>Valor perdido</t>
  </si>
  <si>
    <t>Probabilidade</t>
  </si>
  <si>
    <t>Gestor comercial</t>
  </si>
  <si>
    <t>Próxima acção</t>
  </si>
  <si>
    <t>Próximo contacto</t>
  </si>
  <si>
    <t>Observações</t>
  </si>
  <si>
    <t>Dias em aberto</t>
  </si>
  <si>
    <t>Valor ponderado</t>
  </si>
  <si>
    <t>Classe cliente</t>
  </si>
  <si>
    <t>Prioridade</t>
  </si>
  <si>
    <t>Estado CRM</t>
  </si>
  <si>
    <t>KPIs AUTOMÁTICOS POR COMERCIAL</t>
  </si>
  <si>
    <t>Comercial</t>
  </si>
  <si>
    <t>N.º propostas</t>
  </si>
  <si>
    <t>Volume proposto</t>
  </si>
  <si>
    <t>Volume aprovado</t>
  </si>
  <si>
    <t>Volume perdido</t>
  </si>
  <si>
    <t>Pipeline ponderado</t>
  </si>
  <si>
    <t>Ticket médio</t>
  </si>
  <si>
    <t>Taxa conversão</t>
  </si>
  <si>
    <t>N.º aprovadas</t>
  </si>
  <si>
    <t>N.º abertas</t>
  </si>
  <si>
    <t>Contactos próximos 7 dias</t>
  </si>
  <si>
    <t>Negócios alta prioridade</t>
  </si>
  <si>
    <t>Desempenho</t>
  </si>
  <si>
    <t>TOTAL EQUIPA</t>
  </si>
  <si>
    <t>Síntese</t>
  </si>
  <si>
    <t>COMPARATIVO DAS 2 ÚLTIMAS SEMANAS</t>
  </si>
  <si>
    <t>Descrição</t>
  </si>
  <si>
    <t>Variação</t>
  </si>
  <si>
    <t>N.º de pedidos (declarado)</t>
  </si>
  <si>
    <t>N.º de linhas no pipeline</t>
  </si>
  <si>
    <t>Total de propostas</t>
  </si>
  <si>
    <t>Total aprovado</t>
  </si>
  <si>
    <t>Total perdido</t>
  </si>
  <si>
    <t>Taxa de conversão</t>
  </si>
  <si>
    <t>DASHBOARD EXECUTIVO DO CRM</t>
  </si>
  <si>
    <t>N.º registos</t>
  </si>
  <si>
    <t>Probabilidade média</t>
  </si>
  <si>
    <t>Alta prioridade</t>
  </si>
  <si>
    <t>Leitura automática: o CRM calcula o valor ponderado por oportunidade, classifica a prioridade, controla o follow-up e apresenta o desempenho de cada comercial. Actualize apenas as células de registo e deixe as colunas de fórmula intactas.</t>
  </si>
  <si>
    <t>Estado</t>
  </si>
  <si>
    <t>N.º</t>
  </si>
  <si>
    <t>Volume</t>
  </si>
  <si>
    <t>Aprovado</t>
  </si>
  <si>
    <t>Ponderado</t>
  </si>
  <si>
    <t>Considerar a possibilidade de apresentar um desconto</t>
  </si>
  <si>
    <t>KERO</t>
  </si>
  <si>
    <t>Proposta remetida para avaliação</t>
  </si>
  <si>
    <t>O material já foi produzido e entregue</t>
  </si>
  <si>
    <t>NESTLÉ</t>
  </si>
  <si>
    <t>ENDIAMA</t>
  </si>
  <si>
    <t>Fornecimento de Brindes</t>
  </si>
  <si>
    <t>GEMCORP</t>
  </si>
  <si>
    <t>José Neto</t>
  </si>
  <si>
    <t>Brindes e Materiais de Merchandising</t>
  </si>
  <si>
    <t>FINSTAR</t>
  </si>
  <si>
    <t>Negocias as restantes propostas em aberto</t>
  </si>
  <si>
    <t>SUEZ</t>
  </si>
  <si>
    <t xml:space="preserve">Solicitar o ponto de situação da proposta </t>
  </si>
  <si>
    <t>ATO</t>
  </si>
  <si>
    <t>AFRICANA</t>
  </si>
  <si>
    <t>Negociar as restantes propostas em aberto</t>
  </si>
  <si>
    <t>AUTOMATRIZ</t>
  </si>
  <si>
    <t>POLITEJO</t>
  </si>
  <si>
    <t>Focar em outros processos</t>
  </si>
  <si>
    <t>O cliente manifestou o interesse em avançar connosco</t>
  </si>
  <si>
    <t>Roll Ups</t>
  </si>
  <si>
    <t>UNITEL</t>
  </si>
  <si>
    <t>SBM OFFSHORE</t>
  </si>
  <si>
    <t>ALIANÇA SEGUROS</t>
  </si>
  <si>
    <t>Média</t>
  </si>
  <si>
    <t>Aberto</t>
  </si>
  <si>
    <t>ACCESS BANK</t>
  </si>
  <si>
    <t>Alta</t>
  </si>
  <si>
    <t>Fechado ganho</t>
  </si>
  <si>
    <t>Normal</t>
  </si>
  <si>
    <t>Manter o contacto com o cliente para obter novas aprovações</t>
  </si>
  <si>
    <t>BCGA</t>
  </si>
  <si>
    <t>SANLAMALLIAZ</t>
  </si>
  <si>
    <t>CMC</t>
  </si>
  <si>
    <t>FADA</t>
  </si>
  <si>
    <t>Forneciemnto de Brindes</t>
  </si>
  <si>
    <t>Fornecimento de brindes</t>
  </si>
  <si>
    <t>PAY4ALL</t>
  </si>
  <si>
    <t>DIVERSIFICA MAIS</t>
  </si>
  <si>
    <t>Fornecimento de cartões de visitas</t>
  </si>
  <si>
    <t>NOSSA SEGUROS</t>
  </si>
  <si>
    <t>Fornecimento de Flyrs</t>
  </si>
  <si>
    <t>Material produzido e entregue</t>
  </si>
  <si>
    <t>PRODEL</t>
  </si>
  <si>
    <t>Pressionar o envio da PO</t>
  </si>
  <si>
    <t>SAIPEM</t>
  </si>
  <si>
    <t>ANGOLAUTO</t>
  </si>
  <si>
    <t>O cliente informou que a nossa proposta está muito alta em relação ao Budget deles</t>
  </si>
  <si>
    <t>Fonte base: relatório consolidado de clientes de 01 a 30 de Junho de 2026. O ficheiro inclui fórmulas automáticas, validações de dados e gráficos prontos para gestão comercial.</t>
  </si>
  <si>
    <t>COSCAL LIMITADA</t>
  </si>
  <si>
    <t>PUREGLASS</t>
  </si>
  <si>
    <t>Fechado perdido</t>
  </si>
  <si>
    <t>Manter o cliente por perto para obter mais trabalhos</t>
  </si>
  <si>
    <t>Material produzido e entregue com feedback positivo</t>
  </si>
  <si>
    <t>Impressão de Flyers</t>
  </si>
  <si>
    <t>O cliente não especificou o motivo da rejeição</t>
  </si>
  <si>
    <t>T-Shirts para Lojistas</t>
  </si>
  <si>
    <t>Pressionar a informação relativamente aos tamanhos para dar início a produção</t>
  </si>
  <si>
    <t>O cliente já partilhou as artes, mas ainda temos em falta os tamanhos</t>
  </si>
  <si>
    <t>T-Shirts para Lojistas (2ª Fase)</t>
  </si>
  <si>
    <t>A PO está em processamento</t>
  </si>
  <si>
    <t>Sacos TNT</t>
  </si>
  <si>
    <t>Materiais Diversos</t>
  </si>
  <si>
    <t>O cliente optou por avançar com o fornecedor onde tinham saldo pendente</t>
  </si>
  <si>
    <t>Fitas Porta Passe Sem Personalização</t>
  </si>
  <si>
    <t>O material já foi entregue</t>
  </si>
  <si>
    <t>IMOCASAIS</t>
  </si>
  <si>
    <t>Fornecimento de Blocos de nota, canetas Flyers</t>
  </si>
  <si>
    <t>Fornecimento de Flyrs monofolha e tripticos</t>
  </si>
  <si>
    <t>Falta o envio da PO, para credibilizar a adjudicação do processo</t>
  </si>
  <si>
    <t>TEIXERA DUARTE</t>
  </si>
  <si>
    <t>Fornecimento de Diversos</t>
  </si>
  <si>
    <t>Aumentar o fluxo de trabalhos com este cliente</t>
  </si>
  <si>
    <t>SIAC</t>
  </si>
  <si>
    <t>Fornecimento de brindes e merchandising</t>
  </si>
  <si>
    <t>Agendar uma reunião com o cliente</t>
  </si>
  <si>
    <t>Fornecimento de materiais para outubro rosa</t>
  </si>
  <si>
    <t xml:space="preserve">Negociar a modadlidade de pagamento </t>
  </si>
  <si>
    <t>Aguardamos o envio da PO</t>
  </si>
  <si>
    <t>Devido ao preço, o cliente optou por avançar com outro fornecedor</t>
  </si>
  <si>
    <t>A nossa proposta está em análise</t>
  </si>
  <si>
    <t>Canecas de Porcelana e Garrafas Térmica</t>
  </si>
  <si>
    <t>Incentivar o cliente para o envio da contraproposta.</t>
  </si>
  <si>
    <t>O processo de análise das propostas está em curso</t>
  </si>
  <si>
    <t>FINSTAR/ZAP</t>
  </si>
  <si>
    <t>CARPINANGOLA/CASAIS</t>
  </si>
  <si>
    <t>Bloco de Notas e Canetas</t>
  </si>
  <si>
    <t>Alinhamento com a cliente para obter mais trabalhos</t>
  </si>
  <si>
    <t>O processo de produção está em curso, faremos a entrega no dia 20 de Julho</t>
  </si>
  <si>
    <t>CEGID/PRIMAVERA</t>
  </si>
  <si>
    <t>Cumprimento do prazo de entrega</t>
  </si>
  <si>
    <t>T-Shirts para Filda</t>
  </si>
  <si>
    <t>Persuadir a aprovação usando o prazo de entrega do estratégia</t>
  </si>
  <si>
    <t>As propostas ainda estão a ser analisadas</t>
  </si>
  <si>
    <t>Totens em Betão</t>
  </si>
  <si>
    <t>Solicitar uma reunião com este cliente</t>
  </si>
  <si>
    <t>A nossa proposta foi submetida para avaliação</t>
  </si>
  <si>
    <t>Fitas Porta Passe</t>
  </si>
  <si>
    <t>Capas de Importação</t>
  </si>
  <si>
    <t>Posters em Papel Satim</t>
  </si>
  <si>
    <t>Produzir e entregar uma nova amostra ao cliente</t>
  </si>
  <si>
    <t>A amostra anteriormente produzida foi reprovada pelo cliente devido a qualidade de impressão</t>
  </si>
  <si>
    <t>Criação e Impressão de Revistas</t>
  </si>
  <si>
    <t>A nossa proposta está acima do orçamento apresentado pelo cliente</t>
  </si>
  <si>
    <t>Tapete para Sala de Espera</t>
  </si>
  <si>
    <t>Apresentar uma proposta com maaterial mais econ</t>
  </si>
  <si>
    <t>A contraproposta apresentada pelo cliente está muito abaixo do nosso orçamento e não compensa avançar</t>
  </si>
  <si>
    <t>Letras Recortadas em PVC com Vinil</t>
  </si>
  <si>
    <t>Contactar o cliente para pressionar a aprovação</t>
  </si>
  <si>
    <t>A nossa proposta está a ser analisada pelo cliente</t>
  </si>
  <si>
    <t>CEGID</t>
  </si>
  <si>
    <t>O nosso concorrente é internacional e a nossa proposta está o dobro do valor</t>
  </si>
  <si>
    <t>Fornecimento de Brindes para a filda</t>
  </si>
  <si>
    <t>XPRINT</t>
  </si>
  <si>
    <t>Fornecimento de Brindes e Têxtil</t>
  </si>
  <si>
    <t>DUBAI INVESTIMETS</t>
  </si>
  <si>
    <t xml:space="preserve">Apresentar amostras Físicas e acompanhar o processo </t>
  </si>
  <si>
    <t>Fornecimento de Lenços e gravatas</t>
  </si>
  <si>
    <t>Apresentação de disponibilidade para futurod projectos</t>
  </si>
  <si>
    <t>Proposta rejeitada, por causa do tempo de produção e pelo fornecedor não ter o mesmo tecido</t>
  </si>
  <si>
    <t>Fornecimento de Fita Tulyy</t>
  </si>
  <si>
    <t xml:space="preserve">Proposta reajustada por falta de amostras físicas </t>
  </si>
  <si>
    <t xml:space="preserve">Fornecimento de Material para filda </t>
  </si>
  <si>
    <t>Acompanhar o processo até ao fecho para assegurar a entrega na data prevista</t>
  </si>
  <si>
    <t>Impressão de Autocolante</t>
  </si>
  <si>
    <t>Entrega do material ao cliente</t>
  </si>
  <si>
    <t>O material está pronto para ser entregue</t>
  </si>
  <si>
    <t>Fornecimento de Sacolas</t>
  </si>
  <si>
    <t>TREVOTECH</t>
  </si>
  <si>
    <t xml:space="preserve">Fornecimento de Polos </t>
  </si>
  <si>
    <t>ANGOLACA</t>
  </si>
  <si>
    <t>Fornecimento de Materiais Diversos</t>
  </si>
  <si>
    <t>Contactar a cliente para agendar uma reunião</t>
  </si>
  <si>
    <t>Fornecimento de Garrafas Térmicas</t>
  </si>
  <si>
    <t>Avaliar a possibilidade de dar um desconto</t>
  </si>
  <si>
    <t xml:space="preserve"> Solicitar o ponto de situação da proposta</t>
  </si>
  <si>
    <t>Desculpar-se com o cliente pelo constrangimento causado no processo</t>
  </si>
  <si>
    <t>Resolver os impasses dentro do processo</t>
  </si>
  <si>
    <t>Tivemos alguns constrangimentos durante o processo, mas já estão a ser resolvidos</t>
  </si>
  <si>
    <t>Fornecimento de letras em 3D</t>
  </si>
  <si>
    <t>Solicitar um feedback do orçamento</t>
  </si>
  <si>
    <t>CLINICA SAGRADA ESPERANÇA</t>
  </si>
  <si>
    <t>Fornecimento e aplicação de vinil fosco</t>
  </si>
  <si>
    <t>Manter o contacto com o cliente para gerar novos negócios</t>
  </si>
  <si>
    <t>SONILS</t>
  </si>
  <si>
    <t>Fornecimento de caixa luminoso e placa acrilica</t>
  </si>
  <si>
    <t>Entrar em contacto com o cliente e persuadir o fecho</t>
  </si>
  <si>
    <t>TRANSFUEL</t>
  </si>
  <si>
    <t>Fornecimento de uniformes</t>
  </si>
  <si>
    <t>Fornecimento de vinil</t>
  </si>
  <si>
    <t>PROGRAMA ALIMENTAR</t>
  </si>
  <si>
    <t>O processo de  montagem foi concluído</t>
  </si>
  <si>
    <t xml:space="preserve">Impressão de Vinil </t>
  </si>
  <si>
    <t>Solicitação de PDS da proposta enviada</t>
  </si>
  <si>
    <t>Apresentamos a proposta e aguardamos feedback do cliente</t>
  </si>
  <si>
    <t>URBANIZAÇÃO BOA VIDA</t>
  </si>
  <si>
    <t>Fornecimento de Fitas Porta Passe</t>
  </si>
  <si>
    <t>Solicitar o PDS da proposta enviada</t>
  </si>
  <si>
    <t>Aguardamos o feedback do cliente</t>
  </si>
  <si>
    <t>SRA. BRUNA</t>
  </si>
  <si>
    <t>Fornecimento de Sacolas Mochilas e Folhas A4</t>
  </si>
  <si>
    <t>Apresentar outras soluções ao cliente</t>
  </si>
  <si>
    <t>PDCT</t>
  </si>
  <si>
    <t>Produção de Folhetos</t>
  </si>
  <si>
    <t>Solicitar o pagamento da Factura em aberto</t>
  </si>
  <si>
    <t>Fornecimento de letras em monobloco</t>
  </si>
  <si>
    <t>TRIBUNAL DE CONTAS</t>
  </si>
  <si>
    <t>Dar seguimento a outras negociações</t>
  </si>
  <si>
    <t>O cliente optou por não avançar com o processo</t>
  </si>
  <si>
    <t>Fornecimento  de brindes para Filda</t>
  </si>
  <si>
    <t>DISBRA</t>
  </si>
  <si>
    <t>Fornecimento de sacolas e folhetos</t>
  </si>
  <si>
    <t>Fornecimento de Passes PVC e Fitas</t>
  </si>
  <si>
    <t>Fornecimento e Montagem de Sinaléticas</t>
  </si>
  <si>
    <t>Contactar o cliente para impulsionar a adjudicação</t>
  </si>
  <si>
    <t>VIAÇÃO E TRÂNSITO</t>
  </si>
  <si>
    <t>Flyers e Roll Ups</t>
  </si>
  <si>
    <t>Solicitar o envio das artes para a produção</t>
  </si>
  <si>
    <t>BANCO BNI</t>
  </si>
  <si>
    <t>Solicitar o feedback deste processo</t>
  </si>
  <si>
    <t>A nossa proposta foi remetida para análise</t>
  </si>
  <si>
    <t>As artes estão a ser criadas</t>
  </si>
  <si>
    <t>Fornecimento de caixa luminoso e placa em pvc</t>
  </si>
  <si>
    <t>Fornecimento de Estrutura Metálica</t>
  </si>
  <si>
    <t>Marcar um levantamento nas instalações do cliente</t>
  </si>
  <si>
    <t>Já apresentamos o orçamento</t>
  </si>
  <si>
    <t>IMBONO</t>
  </si>
  <si>
    <t>Fornecimento Polos</t>
  </si>
  <si>
    <t>Já apresentamos as amostras de duas marcas</t>
  </si>
  <si>
    <t>IGREJA DOS ÚLTIMOS TEMPOS</t>
  </si>
  <si>
    <t>Procurar um contacto para acelerar a comunicação</t>
  </si>
  <si>
    <t>Vamos solicitar o feedback do orçamento</t>
  </si>
  <si>
    <t>Fornecimento de Sacolas e Folhetos</t>
  </si>
  <si>
    <t>Solicitar o feedbcack do orçamento</t>
  </si>
  <si>
    <t>Fornecimento de Materias para Filda</t>
  </si>
  <si>
    <t>AUTROMATRIZ</t>
  </si>
  <si>
    <t>SUAVE</t>
  </si>
  <si>
    <t xml:space="preserve">Entrar em contacto com a cliente para negociar a proposta </t>
  </si>
  <si>
    <t>Forneciemnto de Flyres picotados</t>
  </si>
  <si>
    <t>Fornecimento de Bonés</t>
  </si>
  <si>
    <t>Fornecimento de Tapetes</t>
  </si>
  <si>
    <t>Aguardamos o pagamento da Factura</t>
  </si>
  <si>
    <t xml:space="preserve">O cliente optou por avançar com o fornecedor </t>
  </si>
  <si>
    <t>DP-WORLD</t>
  </si>
  <si>
    <t>Fornecimeto de Brindes</t>
  </si>
  <si>
    <t>RHUANITO</t>
  </si>
  <si>
    <t>Fornecimento de Flyres e têxtil</t>
  </si>
  <si>
    <t>Voltar a contactar o cliente para obter o ponto de situação</t>
  </si>
  <si>
    <t>DP WORLD</t>
  </si>
  <si>
    <t>Placas em PVC com Vinil</t>
  </si>
  <si>
    <t xml:space="preserve">Persuadir a aprovação </t>
  </si>
  <si>
    <t>Já oferecemos um desconto na proposta</t>
  </si>
  <si>
    <t>Quadros em Acrílico para Documentos</t>
  </si>
  <si>
    <t>Enviamos a proposta e aguardamos feedback do cliente</t>
  </si>
  <si>
    <t>Fornecimento e Aplicação de Lona</t>
  </si>
  <si>
    <t>A princípio rejeitamos a produção da amostra, mas vamos analisar melhor</t>
  </si>
  <si>
    <t>Fornecimento de vinil e letreiro luminoso</t>
  </si>
  <si>
    <t>CENTRO ÓPTICO</t>
  </si>
  <si>
    <t>Máquinas Calculadoras Personalizadas</t>
  </si>
  <si>
    <t>Entrar em contacto com o cliente para uma possível negociação</t>
  </si>
  <si>
    <t>Fazer o acompanhamento do processo</t>
  </si>
  <si>
    <t>Solicitar PD da proposta</t>
  </si>
  <si>
    <t>Fornecimento de sacolas de papel</t>
  </si>
  <si>
    <t>Fornecimento de pastas</t>
  </si>
  <si>
    <t>Processo em curso</t>
  </si>
  <si>
    <t>Negociar com o cliente, considerar a possibilidade de desconto, marcar uma reunião</t>
  </si>
  <si>
    <t>JUMUCUZA</t>
  </si>
  <si>
    <t>Fornecimento de protedores auditivos</t>
  </si>
  <si>
    <t xml:space="preserve">Proposta remetida para avaliação, juntos com as ficha técnica </t>
  </si>
  <si>
    <t>CERTAVE</t>
  </si>
  <si>
    <t>Fornecimento de sinaletica</t>
  </si>
  <si>
    <t>Monitorizar o proc. De adjudicação e manter disponibilidade para envetuais ajustes</t>
  </si>
  <si>
    <t>Plotagem de Viatura</t>
  </si>
  <si>
    <t>INDÚSTRIAS TOPACK</t>
  </si>
  <si>
    <t>Coletes Multibolso e Cartões de Visita</t>
  </si>
  <si>
    <t>Contactar o cliente para negociar a proposta</t>
  </si>
  <si>
    <t>O cliente optou por avançar com outro fornecedor</t>
  </si>
  <si>
    <t>Fornecimento De Brindes</t>
  </si>
  <si>
    <t>Ilídio Pedro</t>
  </si>
  <si>
    <t>ACQUA GLOBAL</t>
  </si>
  <si>
    <t>OMATAPALO</t>
  </si>
  <si>
    <t>Fornecimento De Placas sinaleticas</t>
  </si>
  <si>
    <t>O cliente não respondeu ao nosso e-mail, mas tem pouca chances de ser aprovada a nossa proposta</t>
  </si>
  <si>
    <t>Fornecimento de Pins</t>
  </si>
  <si>
    <t>Impressão de Vinil Autocolante</t>
  </si>
  <si>
    <t>RÁDIO NACIONAL DE ANGOLA</t>
  </si>
  <si>
    <t>Brindes para Filda</t>
  </si>
  <si>
    <t>A parceria proposta pelo cliente era apenas benéfica para eles</t>
  </si>
  <si>
    <t>Baixa</t>
  </si>
  <si>
    <t>SONANGOL PESQUISA E PRODUÇÃO</t>
  </si>
  <si>
    <t>NOX,LDA</t>
  </si>
  <si>
    <t>Fornecimento de canetas</t>
  </si>
  <si>
    <t>ENDIAMA, EP</t>
  </si>
  <si>
    <t>Fornecimento de carimbo seco</t>
  </si>
  <si>
    <t>SÁ - MACHADO</t>
  </si>
  <si>
    <t>Placas Sinaléticas</t>
  </si>
  <si>
    <t>Contactar o cliente por telemóvel para solicitar o feedback da proposta</t>
  </si>
  <si>
    <t>A proposta foi apresentada mas não tivemos feedback do cliente</t>
  </si>
  <si>
    <t>Roll Ups e Bancadas</t>
  </si>
  <si>
    <t>A proposta foi aprovada, aguardando a PO para dar seguimento a produção</t>
  </si>
  <si>
    <t>Fornecimento de polos</t>
  </si>
  <si>
    <t>Fernando Leite</t>
  </si>
  <si>
    <t>BAXTTER</t>
  </si>
  <si>
    <t xml:space="preserve">Fornecimento de brindes </t>
  </si>
  <si>
    <t>GRUPO CAJUEIRO</t>
  </si>
  <si>
    <t>Manter o contacto com o cliente para obter novos trabalhos</t>
  </si>
  <si>
    <t>5 LINHAS</t>
  </si>
  <si>
    <t>Fornecimento de diversos</t>
  </si>
  <si>
    <t>SAAS SISTEMAS TECNOLOGIAS</t>
  </si>
  <si>
    <t>Fornecimento de passes</t>
  </si>
  <si>
    <t>PEDRA PRECIOSA</t>
  </si>
  <si>
    <t>Fornecimento de toalhas  bordadas</t>
  </si>
  <si>
    <t>5 LINHAS TELECOMUNICAÇÕES</t>
  </si>
  <si>
    <t>Brindes, Têxteis e Papelaria</t>
  </si>
  <si>
    <t>GRUPO CASTEL</t>
  </si>
  <si>
    <t>Impressão de Código de Conduta</t>
  </si>
  <si>
    <t>Enviamos a proposta mas o cliente não deu feedback</t>
  </si>
  <si>
    <t>Fornecimento de Envelopes</t>
  </si>
  <si>
    <t>C. WOERMANN</t>
  </si>
  <si>
    <t>Cartões de Visita</t>
  </si>
  <si>
    <t>Fornecimento de T-sirts, Autocolantes e Cartões de Visita</t>
  </si>
  <si>
    <t>Aguardando a confirmação do cliente sobra a aprovação</t>
  </si>
  <si>
    <t>Contactar o cliente para solicitar o ponto de situação do processo</t>
  </si>
  <si>
    <t>Manter o contacto com o cliente para oter novos trabalhos</t>
  </si>
  <si>
    <t>Focar em outros processos de maior dimensão</t>
  </si>
  <si>
    <t>01 - 30 Junho 2026</t>
  </si>
  <si>
    <t>01 – 31 Julho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</si>
</sst>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Kz &quot;\ #,##0.00;[Red]\(&quot;Kz &quot;\ #,##0.00\);&quot;-&quot;"/>
    <numFmt numFmtId="165" formatCode="0.0%"/>
    <numFmt numFmtId="166" formatCode="#,##0;[Red]\(#,##0\);\-"/>
    <numFmt numFmtId="171" formatCode="#,##0.00\ [$AOA];[Red]#,##0.00\ [$AOA]"/>
  </numFmts>
  <fonts count="16" x14ac:knownFonts="1">
    <font>
      <sz val="11"/>
      <color theme="1"/>
      <name val="Calibri"/>
      <family val="2"/>
      <scheme val="minor"/>
    </font>
    <font>
      <b/>
      <sz val="20"/>
      <color rgb="FFFFFFFF"/>
      <name val="Courier New"/>
      <family val="3"/>
    </font>
    <font>
      <sz val="12"/>
      <color rgb="FF173A5E"/>
      <name val="Courier New"/>
      <family val="3"/>
    </font>
    <font>
      <b/>
      <sz val="11"/>
      <color rgb="FF173A5E"/>
      <name val="Courier New"/>
      <family val="3"/>
    </font>
    <font>
      <i/>
      <sz val="10"/>
      <color rgb="FF173A5E"/>
      <name val="Courier New"/>
      <family val="3"/>
    </font>
    <font>
      <b/>
      <sz val="16"/>
      <color rgb="FFFFFFFF"/>
      <name val="Courier New"/>
      <family val="3"/>
    </font>
    <font>
      <b/>
      <sz val="10"/>
      <color rgb="FF000000"/>
      <name val="Courier New"/>
      <family val="3"/>
    </font>
    <font>
      <sz val="10"/>
      <color rgb="FF000000"/>
      <name val="Courier New"/>
      <family val="3"/>
    </font>
    <font>
      <b/>
      <sz val="12"/>
      <color rgb="FFFFFFFF"/>
      <name val="Courier New"/>
      <family val="3"/>
    </font>
    <font>
      <b/>
      <sz val="14"/>
      <color rgb="FF173A5E"/>
      <name val="Courier New"/>
      <family val="3"/>
    </font>
    <font>
      <sz val="10"/>
      <color rgb="FF000000"/>
      <name val="Courier New"/>
      <family val="3"/>
    </font>
    <font>
      <u/>
      <sz val="11"/>
      <color theme="10"/>
      <name val="Calibri"/>
      <family val="2"/>
      <scheme val="minor"/>
    </font>
    <font>
      <sz val="10"/>
      <name val="Courier New"/>
      <family val="3"/>
    </font>
    <font>
      <sz val="11"/>
      <color theme="1"/>
      <name val="Courier New"/>
      <family val="3"/>
    </font>
    <font>
      <sz val="10"/>
      <color theme="1"/>
      <name val="Courier New"/>
      <family val="3"/>
    </font>
    <font>
      <sz val="11"/>
      <color rgb="FF000000"/>
      <name val="Courier New"/>
      <family val="3"/>
    </font>
  </fonts>
  <fills count="15">
    <fill>
      <patternFill patternType="none"/>
    </fill>
    <fill>
      <patternFill patternType="gray125"/>
    </fill>
    <fill>
      <patternFill patternType="solid">
        <fgColor rgb="FF173A5E"/>
      </patternFill>
    </fill>
    <fill>
      <patternFill patternType="solid">
        <fgColor rgb="FFDCE6F1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D9E1F2"/>
      </patternFill>
    </fill>
    <fill>
      <patternFill patternType="solid">
        <fgColor rgb="FFDDEBF7"/>
      </patternFill>
    </fill>
    <fill>
      <patternFill patternType="solid">
        <fgColor rgb="FFE4DFEC"/>
      </patternFill>
    </fill>
    <fill>
      <patternFill patternType="solid">
        <fgColor rgb="FFF4B183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/>
      <top/>
      <bottom style="thin">
        <color rgb="FFB7C9D6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14">
    <xf numFmtId="0" fontId="0" fillId="0" borderId="0" xfId="0"/>
    <xf numFmtId="0" fontId="6" fillId="3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5" borderId="0" xfId="0" applyFont="1" applyFill="1" applyAlignment="1">
      <alignment horizontal="center" vertical="center" wrapText="1"/>
    </xf>
    <xf numFmtId="0" fontId="6" fillId="7" borderId="0" xfId="0" applyFont="1" applyFill="1"/>
    <xf numFmtId="0" fontId="7" fillId="0" borderId="2" xfId="0" applyFont="1" applyBorder="1" applyAlignment="1">
      <alignment horizontal="center" vertical="center"/>
    </xf>
    <xf numFmtId="0" fontId="8" fillId="5" borderId="0" xfId="0" applyFont="1" applyFill="1"/>
    <xf numFmtId="0" fontId="7" fillId="0" borderId="2" xfId="0" applyFont="1" applyBorder="1" applyAlignment="1">
      <alignment vertical="center" wrapText="1"/>
    </xf>
    <xf numFmtId="0" fontId="7" fillId="0" borderId="0" xfId="0" applyFont="1"/>
    <xf numFmtId="164" fontId="6" fillId="7" borderId="0" xfId="0" applyNumberFormat="1" applyFont="1" applyFill="1"/>
    <xf numFmtId="164" fontId="7" fillId="0" borderId="2" xfId="0" applyNumberFormat="1" applyFont="1" applyBorder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/>
    </xf>
    <xf numFmtId="165" fontId="7" fillId="0" borderId="2" xfId="0" applyNumberFormat="1" applyFont="1" applyBorder="1" applyAlignment="1">
      <alignment vertical="center" wrapText="1"/>
    </xf>
    <xf numFmtId="164" fontId="7" fillId="0" borderId="2" xfId="0" applyNumberFormat="1" applyFont="1" applyBorder="1" applyAlignment="1">
      <alignment vertical="center" wrapText="1"/>
    </xf>
    <xf numFmtId="166" fontId="0" fillId="0" borderId="0" xfId="0" applyNumberFormat="1"/>
    <xf numFmtId="164" fontId="7" fillId="0" borderId="0" xfId="0" applyNumberFormat="1" applyFont="1"/>
    <xf numFmtId="0" fontId="6" fillId="7" borderId="0" xfId="0" applyFont="1" applyFill="1" applyAlignment="1">
      <alignment horizontal="center"/>
    </xf>
    <xf numFmtId="0" fontId="6" fillId="7" borderId="0" xfId="0" applyFont="1" applyFill="1" applyAlignment="1">
      <alignment horizontal="center" vertical="center"/>
    </xf>
    <xf numFmtId="164" fontId="6" fillId="7" borderId="0" xfId="0" applyNumberFormat="1" applyFont="1" applyFill="1" applyAlignment="1">
      <alignment horizontal="center"/>
    </xf>
    <xf numFmtId="165" fontId="6" fillId="7" borderId="0" xfId="0" applyNumberFormat="1" applyFont="1" applyFill="1" applyAlignment="1">
      <alignment horizontal="center"/>
    </xf>
    <xf numFmtId="0" fontId="7" fillId="11" borderId="2" xfId="0" applyFont="1" applyFill="1" applyBorder="1" applyAlignment="1">
      <alignment vertical="top" wrapText="1"/>
    </xf>
    <xf numFmtId="165" fontId="7" fillId="11" borderId="2" xfId="0" applyNumberFormat="1" applyFont="1" applyFill="1" applyBorder="1" applyAlignment="1">
      <alignment vertical="top" wrapText="1"/>
    </xf>
    <xf numFmtId="0" fontId="10" fillId="0" borderId="2" xfId="0" applyFont="1" applyBorder="1" applyAlignment="1">
      <alignment horizontal="left" vertical="center"/>
    </xf>
    <xf numFmtId="165" fontId="7" fillId="12" borderId="2" xfId="0" applyNumberFormat="1" applyFont="1" applyFill="1" applyBorder="1" applyAlignment="1">
      <alignment vertical="top" wrapText="1"/>
    </xf>
    <xf numFmtId="165" fontId="7" fillId="13" borderId="2" xfId="0" applyNumberFormat="1" applyFont="1" applyFill="1" applyBorder="1" applyAlignment="1">
      <alignment vertical="top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vertical="center" wrapText="1"/>
    </xf>
    <xf numFmtId="0" fontId="3" fillId="3" borderId="0" xfId="0" applyFont="1" applyFill="1" applyAlignment="1">
      <alignment horizontal="center" vertical="center"/>
    </xf>
    <xf numFmtId="165" fontId="9" fillId="3" borderId="0" xfId="0" applyNumberFormat="1" applyFont="1" applyFill="1" applyAlignment="1">
      <alignment horizontal="center" vertical="center"/>
    </xf>
    <xf numFmtId="164" fontId="9" fillId="9" borderId="0" xfId="0" applyNumberFormat="1" applyFont="1" applyFill="1" applyAlignment="1">
      <alignment horizontal="center" vertical="center"/>
    </xf>
    <xf numFmtId="166" fontId="9" fillId="8" borderId="0" xfId="0" applyNumberFormat="1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166" fontId="9" fillId="10" borderId="0" xfId="0" applyNumberFormat="1" applyFont="1" applyFill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/>
    </xf>
    <xf numFmtId="165" fontId="9" fillId="4" borderId="0" xfId="0" applyNumberFormat="1" applyFont="1" applyFill="1" applyAlignment="1">
      <alignment horizontal="center" vertical="center"/>
    </xf>
    <xf numFmtId="164" fontId="9" fillId="6" borderId="0" xfId="0" applyNumberFormat="1" applyFont="1" applyFill="1" applyAlignment="1">
      <alignment horizontal="center" vertical="center"/>
    </xf>
    <xf numFmtId="0" fontId="14" fillId="14" borderId="3" xfId="0" applyNumberFormat="1" applyFont="1" applyFill="1" applyBorder="1" applyAlignment="1">
      <alignment horizontal="left" vertical="center" wrapText="1"/>
    </xf>
    <xf numFmtId="165" fontId="15" fillId="13" borderId="2" xfId="0" applyNumberFormat="1" applyFont="1" applyFill="1" applyBorder="1" applyAlignment="1">
      <alignment vertical="top" wrapText="1"/>
    </xf>
    <xf numFmtId="0" fontId="7" fillId="11" borderId="2" xfId="0" applyFont="1" applyFill="1" applyBorder="1" applyAlignment="1">
      <alignment horizontal="center" vertical="center" wrapText="1"/>
    </xf>
    <xf numFmtId="0" fontId="14" fillId="14" borderId="3" xfId="0" applyNumberFormat="1" applyFont="1" applyFill="1" applyBorder="1" applyAlignment="1">
      <alignment horizontal="center" vertical="center" wrapText="1"/>
    </xf>
    <xf numFmtId="0" fontId="14" fillId="11" borderId="3" xfId="0" applyNumberFormat="1" applyFont="1" applyFill="1" applyBorder="1" applyAlignment="1">
      <alignment horizontal="center" vertical="center" wrapText="1"/>
    </xf>
    <xf numFmtId="0" fontId="13" fillId="11" borderId="3" xfId="0" applyNumberFormat="1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vertical="center" wrapText="1"/>
    </xf>
    <xf numFmtId="0" fontId="14" fillId="14" borderId="3" xfId="0" applyNumberFormat="1" applyFont="1" applyFill="1" applyBorder="1" applyAlignment="1">
      <alignment vertical="center" wrapText="1"/>
    </xf>
    <xf numFmtId="0" fontId="14" fillId="11" borderId="3" xfId="0" applyNumberFormat="1" applyFont="1" applyFill="1" applyBorder="1" applyAlignment="1">
      <alignment vertical="center" wrapText="1"/>
    </xf>
    <xf numFmtId="0" fontId="13" fillId="11" borderId="3" xfId="0" applyNumberFormat="1" applyFont="1" applyFill="1" applyBorder="1" applyAlignment="1">
      <alignment vertical="center" wrapText="1"/>
    </xf>
    <xf numFmtId="14" fontId="7" fillId="11" borderId="2" xfId="0" applyNumberFormat="1" applyFont="1" applyFill="1" applyBorder="1" applyAlignment="1">
      <alignment horizontal="center" vertical="center" wrapText="1"/>
    </xf>
    <xf numFmtId="14" fontId="14" fillId="14" borderId="3" xfId="0" applyNumberFormat="1" applyFont="1" applyFill="1" applyBorder="1" applyAlignment="1">
      <alignment horizontal="center" vertical="center" wrapText="1"/>
    </xf>
    <xf numFmtId="14" fontId="14" fillId="11" borderId="3" xfId="0" applyNumberFormat="1" applyFont="1" applyFill="1" applyBorder="1" applyAlignment="1">
      <alignment horizontal="center" vertical="center" wrapText="1"/>
    </xf>
    <xf numFmtId="14" fontId="13" fillId="11" borderId="3" xfId="0" applyNumberFormat="1" applyFont="1" applyFill="1" applyBorder="1" applyAlignment="1">
      <alignment horizontal="center" vertical="center" wrapText="1"/>
    </xf>
    <xf numFmtId="14" fontId="13" fillId="14" borderId="3" xfId="0" applyNumberFormat="1" applyFont="1" applyFill="1" applyBorder="1" applyAlignment="1">
      <alignment horizontal="center" vertical="center" wrapText="1"/>
    </xf>
    <xf numFmtId="0" fontId="13" fillId="14" borderId="3" xfId="0" applyNumberFormat="1" applyFont="1" applyFill="1" applyBorder="1" applyAlignment="1">
      <alignment horizontal="center" vertical="center" wrapText="1"/>
    </xf>
    <xf numFmtId="0" fontId="13" fillId="14" borderId="3" xfId="0" applyNumberFormat="1" applyFont="1" applyFill="1" applyBorder="1" applyAlignment="1">
      <alignment vertical="center" wrapText="1"/>
    </xf>
    <xf numFmtId="0" fontId="6" fillId="7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4" fontId="13" fillId="14" borderId="3" xfId="0" applyNumberFormat="1" applyFont="1" applyFill="1" applyBorder="1" applyAlignment="1">
      <alignment horizontal="center" vertical="center"/>
    </xf>
    <xf numFmtId="14" fontId="13" fillId="0" borderId="3" xfId="0" applyNumberFormat="1" applyFont="1" applyBorder="1" applyAlignment="1">
      <alignment horizontal="center" vertical="center"/>
    </xf>
    <xf numFmtId="14" fontId="15" fillId="11" borderId="2" xfId="0" applyNumberFormat="1" applyFont="1" applyFill="1" applyBorder="1" applyAlignment="1">
      <alignment horizontal="center" vertical="center" wrapText="1"/>
    </xf>
    <xf numFmtId="0" fontId="12" fillId="11" borderId="2" xfId="1" applyFont="1" applyFill="1" applyBorder="1" applyAlignment="1">
      <alignment horizontal="center" vertical="center" wrapText="1"/>
    </xf>
    <xf numFmtId="0" fontId="13" fillId="14" borderId="3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5" fillId="11" borderId="2" xfId="0" applyFont="1" applyFill="1" applyBorder="1" applyAlignment="1">
      <alignment horizontal="center" vertical="center" wrapText="1"/>
    </xf>
    <xf numFmtId="0" fontId="13" fillId="11" borderId="3" xfId="0" applyFont="1" applyFill="1" applyBorder="1" applyAlignment="1">
      <alignment horizontal="center" vertical="center"/>
    </xf>
    <xf numFmtId="171" fontId="8" fillId="5" borderId="0" xfId="0" applyNumberFormat="1" applyFont="1" applyFill="1" applyAlignment="1">
      <alignment horizontal="right" vertical="center" wrapText="1"/>
    </xf>
    <xf numFmtId="171" fontId="7" fillId="11" borderId="2" xfId="0" applyNumberFormat="1" applyFont="1" applyFill="1" applyBorder="1" applyAlignment="1">
      <alignment horizontal="right" vertical="center" wrapText="1"/>
    </xf>
    <xf numFmtId="171" fontId="14" fillId="14" borderId="3" xfId="0" applyNumberFormat="1" applyFont="1" applyFill="1" applyBorder="1" applyAlignment="1">
      <alignment horizontal="right" vertical="center" wrapText="1"/>
    </xf>
    <xf numFmtId="171" fontId="14" fillId="11" borderId="3" xfId="0" applyNumberFormat="1" applyFont="1" applyFill="1" applyBorder="1" applyAlignment="1">
      <alignment horizontal="right" vertical="center" wrapText="1"/>
    </xf>
    <xf numFmtId="171" fontId="13" fillId="14" borderId="3" xfId="0" applyNumberFormat="1" applyFont="1" applyFill="1" applyBorder="1" applyAlignment="1">
      <alignment horizontal="right" vertical="center" wrapText="1"/>
    </xf>
    <xf numFmtId="171" fontId="13" fillId="11" borderId="3" xfId="0" applyNumberFormat="1" applyFont="1" applyFill="1" applyBorder="1" applyAlignment="1">
      <alignment horizontal="right" vertical="center" wrapText="1"/>
    </xf>
    <xf numFmtId="171" fontId="13" fillId="14" borderId="3" xfId="0" applyNumberFormat="1" applyFont="1" applyFill="1" applyBorder="1" applyAlignment="1">
      <alignment horizontal="right" vertical="center"/>
    </xf>
    <xf numFmtId="171" fontId="13" fillId="0" borderId="3" xfId="0" applyNumberFormat="1" applyFont="1" applyBorder="1" applyAlignment="1">
      <alignment horizontal="right" vertical="center"/>
    </xf>
    <xf numFmtId="171" fontId="15" fillId="11" borderId="2" xfId="0" applyNumberFormat="1" applyFont="1" applyFill="1" applyBorder="1" applyAlignment="1">
      <alignment horizontal="right" vertical="center" wrapText="1"/>
    </xf>
    <xf numFmtId="171" fontId="6" fillId="7" borderId="0" xfId="0" applyNumberFormat="1" applyFont="1" applyFill="1" applyAlignment="1">
      <alignment horizontal="right" vertical="center"/>
    </xf>
    <xf numFmtId="171" fontId="0" fillId="0" borderId="0" xfId="0" applyNumberFormat="1" applyAlignment="1">
      <alignment horizontal="right" vertical="center"/>
    </xf>
    <xf numFmtId="171" fontId="8" fillId="5" borderId="0" xfId="0" applyNumberFormat="1" applyFont="1" applyFill="1" applyAlignment="1">
      <alignment horizontal="center" vertical="center" wrapText="1"/>
    </xf>
    <xf numFmtId="171" fontId="7" fillId="11" borderId="2" xfId="0" applyNumberFormat="1" applyFont="1" applyFill="1" applyBorder="1" applyAlignment="1">
      <alignment vertical="top" wrapText="1"/>
    </xf>
    <xf numFmtId="171" fontId="14" fillId="14" borderId="3" xfId="0" applyNumberFormat="1" applyFont="1" applyFill="1" applyBorder="1" applyAlignment="1">
      <alignment vertical="top" wrapText="1"/>
    </xf>
    <xf numFmtId="171" fontId="14" fillId="11" borderId="3" xfId="0" applyNumberFormat="1" applyFont="1" applyFill="1" applyBorder="1" applyAlignment="1">
      <alignment vertical="top" wrapText="1"/>
    </xf>
    <xf numFmtId="171" fontId="13" fillId="14" borderId="3" xfId="0" applyNumberFormat="1" applyFont="1" applyFill="1" applyBorder="1" applyAlignment="1">
      <alignment wrapText="1"/>
    </xf>
    <xf numFmtId="171" fontId="13" fillId="11" borderId="3" xfId="0" applyNumberFormat="1" applyFont="1" applyFill="1" applyBorder="1" applyAlignment="1">
      <alignment wrapText="1"/>
    </xf>
    <xf numFmtId="171" fontId="13" fillId="11" borderId="3" xfId="0" applyNumberFormat="1" applyFont="1" applyFill="1" applyBorder="1" applyAlignment="1">
      <alignment vertical="center" wrapText="1"/>
    </xf>
    <xf numFmtId="171" fontId="13" fillId="14" borderId="3" xfId="0" applyNumberFormat="1" applyFont="1" applyFill="1" applyBorder="1"/>
    <xf numFmtId="171" fontId="13" fillId="0" borderId="3" xfId="0" applyNumberFormat="1" applyFont="1" applyBorder="1"/>
    <xf numFmtId="171" fontId="15" fillId="11" borderId="2" xfId="0" applyNumberFormat="1" applyFont="1" applyFill="1" applyBorder="1" applyAlignment="1">
      <alignment vertical="top" wrapText="1"/>
    </xf>
    <xf numFmtId="171" fontId="6" fillId="7" borderId="0" xfId="0" applyNumberFormat="1" applyFont="1" applyFill="1"/>
    <xf numFmtId="171" fontId="0" fillId="0" borderId="0" xfId="0" applyNumberFormat="1"/>
    <xf numFmtId="171" fontId="13" fillId="11" borderId="3" xfId="0" applyNumberFormat="1" applyFont="1" applyFill="1" applyBorder="1" applyAlignment="1">
      <alignment vertical="top" wrapText="1"/>
    </xf>
    <xf numFmtId="0" fontId="7" fillId="11" borderId="2" xfId="0" applyFont="1" applyFill="1" applyBorder="1" applyAlignment="1">
      <alignment horizontal="left" vertical="center" wrapText="1"/>
    </xf>
    <xf numFmtId="0" fontId="14" fillId="11" borderId="3" xfId="0" applyNumberFormat="1" applyFont="1" applyFill="1" applyBorder="1" applyAlignment="1">
      <alignment horizontal="left" vertical="center" wrapText="1"/>
    </xf>
    <xf numFmtId="0" fontId="13" fillId="14" borderId="3" xfId="0" applyNumberFormat="1" applyFont="1" applyFill="1" applyBorder="1" applyAlignment="1">
      <alignment horizontal="left" vertical="center" wrapText="1"/>
    </xf>
    <xf numFmtId="0" fontId="13" fillId="11" borderId="3" xfId="0" applyNumberFormat="1" applyFont="1" applyFill="1" applyBorder="1" applyAlignment="1">
      <alignment horizontal="left" vertical="center" wrapText="1"/>
    </xf>
    <xf numFmtId="0" fontId="13" fillId="14" borderId="3" xfId="0" applyFont="1" applyFill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5" fillId="11" borderId="2" xfId="0" applyFont="1" applyFill="1" applyBorder="1" applyAlignment="1">
      <alignment horizontal="left" vertical="center" wrapText="1"/>
    </xf>
    <xf numFmtId="0" fontId="6" fillId="7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4" fontId="13" fillId="11" borderId="3" xfId="0" applyNumberFormat="1" applyFont="1" applyFill="1" applyBorder="1" applyAlignment="1">
      <alignment horizontal="center" vertical="center"/>
    </xf>
    <xf numFmtId="166" fontId="7" fillId="11" borderId="2" xfId="0" applyNumberFormat="1" applyFont="1" applyFill="1" applyBorder="1" applyAlignment="1">
      <alignment horizontal="center" vertical="center" wrapText="1"/>
    </xf>
    <xf numFmtId="166" fontId="15" fillId="11" borderId="2" xfId="0" applyNumberFormat="1" applyFont="1" applyFill="1" applyBorder="1" applyAlignment="1">
      <alignment horizontal="center" vertical="center" wrapText="1"/>
    </xf>
    <xf numFmtId="1" fontId="14" fillId="14" borderId="3" xfId="0" applyNumberFormat="1" applyFont="1" applyFill="1" applyBorder="1" applyAlignment="1">
      <alignment horizontal="center" vertical="center" wrapText="1"/>
    </xf>
    <xf numFmtId="1" fontId="14" fillId="11" borderId="3" xfId="0" applyNumberFormat="1" applyFont="1" applyFill="1" applyBorder="1" applyAlignment="1">
      <alignment horizontal="center" vertical="center" wrapText="1"/>
    </xf>
    <xf numFmtId="1" fontId="13" fillId="14" borderId="3" xfId="0" applyNumberFormat="1" applyFont="1" applyFill="1" applyBorder="1" applyAlignment="1">
      <alignment horizontal="center" vertical="center" wrapText="1"/>
    </xf>
    <xf numFmtId="1" fontId="13" fillId="11" borderId="3" xfId="0" applyNumberFormat="1" applyFont="1" applyFill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15">
    <dxf>
      <font>
        <b/>
        <color rgb="FFC00000"/>
      </font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ont>
        <b/>
        <color rgb="FFC00000"/>
      </font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ont>
        <b/>
        <color rgb="FFC00000"/>
      </font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ill>
        <patternFill patternType="solid">
          <fgColor rgb="FFF4CCCC"/>
        </patternFill>
      </fill>
    </dxf>
    <dxf>
      <font>
        <b/>
        <color rgb="FFC00000"/>
      </font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PT"/>
              <a:t>Volume por comercial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1.9882628446476449E-2"/>
          <c:y val="7.714027686015329E-2"/>
          <c:w val="0.98011737155352352"/>
          <c:h val="0.9228597831374072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Dashboard!$K$20</c:f>
              <c:strCache>
                <c:ptCount val="1"/>
                <c:pt idx="0">
                  <c:v>Volume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Dashboard!$J$21:$J$27</c:f>
              <c:strCache>
                <c:ptCount val="7"/>
                <c:pt idx="0">
                  <c:v>Amélia Cassinda</c:v>
                </c:pt>
                <c:pt idx="1">
                  <c:v>David Guedes</c:v>
                </c:pt>
                <c:pt idx="2">
                  <c:v>Ilídio Pedro</c:v>
                </c:pt>
                <c:pt idx="3">
                  <c:v>Fernando Leite</c:v>
                </c:pt>
                <c:pt idx="4">
                  <c:v>Luísa Baltazar</c:v>
                </c:pt>
                <c:pt idx="5">
                  <c:v>Marta de Oliveira</c:v>
                </c:pt>
                <c:pt idx="6">
                  <c:v>José Neto</c:v>
                </c:pt>
              </c:strCache>
            </c:strRef>
          </c:cat>
          <c:val>
            <c:numRef>
              <c:f>Dashboard!$K$21:$K$27</c:f>
              <c:numCache>
                <c:formatCode>"Kz "\ #\ ##0.00;[Red]\("Kz "\ #\ ##0.00\);"-"</c:formatCode>
                <c:ptCount val="7"/>
                <c:pt idx="0">
                  <c:v>196269712.81999999</c:v>
                </c:pt>
                <c:pt idx="1">
                  <c:v>62249844</c:v>
                </c:pt>
                <c:pt idx="2">
                  <c:v>42023854</c:v>
                </c:pt>
                <c:pt idx="3">
                  <c:v>26970129</c:v>
                </c:pt>
                <c:pt idx="4">
                  <c:v>295443810.69999999</c:v>
                </c:pt>
                <c:pt idx="5">
                  <c:v>111125968.88</c:v>
                </c:pt>
                <c:pt idx="6">
                  <c:v>39749380.120000005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51-46A0-9F78-900F824293F7}"/>
            </c:ext>
          </c:extLst>
        </c:ser>
        <c:ser>
          <c:idx val="1"/>
          <c:order val="1"/>
          <c:tx>
            <c:strRef>
              <c:f>Dashboard!$L$20</c:f>
              <c:strCache>
                <c:ptCount val="1"/>
                <c:pt idx="0">
                  <c:v>Aprovado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Dashboard!$J$21:$J$27</c:f>
              <c:strCache>
                <c:ptCount val="7"/>
                <c:pt idx="0">
                  <c:v>Amélia Cassinda</c:v>
                </c:pt>
                <c:pt idx="1">
                  <c:v>David Guedes</c:v>
                </c:pt>
                <c:pt idx="2">
                  <c:v>Ilídio Pedro</c:v>
                </c:pt>
                <c:pt idx="3">
                  <c:v>Fernando Leite</c:v>
                </c:pt>
                <c:pt idx="4">
                  <c:v>Luísa Baltazar</c:v>
                </c:pt>
                <c:pt idx="5">
                  <c:v>Marta de Oliveira</c:v>
                </c:pt>
                <c:pt idx="6">
                  <c:v>José Neto</c:v>
                </c:pt>
              </c:strCache>
            </c:strRef>
          </c:cat>
          <c:val>
            <c:numRef>
              <c:f>Dashboard!$L$21:$L$27</c:f>
              <c:numCache>
                <c:formatCode>"Kz "\ #\ ##0.00;[Red]\("Kz "\ #\ ##0.00\);"-"</c:formatCode>
                <c:ptCount val="7"/>
                <c:pt idx="0">
                  <c:v>9641030</c:v>
                </c:pt>
                <c:pt idx="1">
                  <c:v>13754328</c:v>
                </c:pt>
                <c:pt idx="2">
                  <c:v>12876300</c:v>
                </c:pt>
                <c:pt idx="3">
                  <c:v>1863909</c:v>
                </c:pt>
                <c:pt idx="4">
                  <c:v>30159800</c:v>
                </c:pt>
                <c:pt idx="5">
                  <c:v>32203170</c:v>
                </c:pt>
                <c:pt idx="6">
                  <c:v>855000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51-46A0-9F78-900F824293F7}"/>
            </c:ext>
          </c:extLst>
        </c:ser>
        <c:ser>
          <c:idx val="2"/>
          <c:order val="2"/>
          <c:tx>
            <c:strRef>
              <c:f>Dashboard!$M$20</c:f>
              <c:strCache>
                <c:ptCount val="1"/>
                <c:pt idx="0">
                  <c:v>Ponderado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Dashboard!$J$21:$J$27</c:f>
              <c:strCache>
                <c:ptCount val="7"/>
                <c:pt idx="0">
                  <c:v>Amélia Cassinda</c:v>
                </c:pt>
                <c:pt idx="1">
                  <c:v>David Guedes</c:v>
                </c:pt>
                <c:pt idx="2">
                  <c:v>Ilídio Pedro</c:v>
                </c:pt>
                <c:pt idx="3">
                  <c:v>Fernando Leite</c:v>
                </c:pt>
                <c:pt idx="4">
                  <c:v>Luísa Baltazar</c:v>
                </c:pt>
                <c:pt idx="5">
                  <c:v>Marta de Oliveira</c:v>
                </c:pt>
                <c:pt idx="6">
                  <c:v>José Neto</c:v>
                </c:pt>
              </c:strCache>
            </c:strRef>
          </c:cat>
          <c:val>
            <c:numRef>
              <c:f>Dashboard!$M$21:$M$27</c:f>
              <c:numCache>
                <c:formatCode>"Kz "\ #\ ##0.00;[Red]\("Kz "\ #\ ##0.00\);"-"</c:formatCode>
                <c:ptCount val="7"/>
                <c:pt idx="0">
                  <c:v>82964376.194000006</c:v>
                </c:pt>
                <c:pt idx="1">
                  <c:v>28629859</c:v>
                </c:pt>
                <c:pt idx="2">
                  <c:v>19174243.600000001</c:v>
                </c:pt>
                <c:pt idx="3">
                  <c:v>8238410.5199999996</c:v>
                </c:pt>
                <c:pt idx="4">
                  <c:v>49126134</c:v>
                </c:pt>
                <c:pt idx="5">
                  <c:v>58892477.599999994</c:v>
                </c:pt>
                <c:pt idx="6">
                  <c:v>18661541.436000001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51-46A0-9F78-900F82429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PT"/>
                  <a:t>Comercial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PT"/>
                  <a:t>Kz</a:t>
                </a:r>
              </a:p>
            </c:rich>
          </c:tx>
          <c:layout/>
          <c:overlay val="1"/>
        </c:title>
        <c:numFmt formatCode="&quot;Kz &quot;\ #\ ##0.00;[Red]\(&quot;Kz &quot;\ #\ ##0.00\)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PT"/>
              <a:t>Distribuição por estado</a:t>
            </a:r>
          </a:p>
        </c:rich>
      </c:tx>
      <c:layout>
        <c:manualLayout>
          <c:xMode val="edge"/>
          <c:yMode val="edge"/>
          <c:x val="0.72095872468154731"/>
          <c:y val="5.1697757408667215E-2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Dashboard!$K$13</c:f>
              <c:strCache>
                <c:ptCount val="1"/>
                <c:pt idx="0">
                  <c:v>N.º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Dashboard!$J$14:$J$17</c:f>
              <c:strCache>
                <c:ptCount val="4"/>
                <c:pt idx="0">
                  <c:v>Proposta enviada</c:v>
                </c:pt>
                <c:pt idx="1">
                  <c:v>Proposta em negociação</c:v>
                </c:pt>
                <c:pt idx="2">
                  <c:v>Proposta aprovada</c:v>
                </c:pt>
                <c:pt idx="3">
                  <c:v>Perdida</c:v>
                </c:pt>
              </c:strCache>
            </c:strRef>
          </c:cat>
          <c:val>
            <c:numRef>
              <c:f>Dashboard!$K$14:$K$17</c:f>
              <c:numCache>
                <c:formatCode>#\ ##0;[Red]\(#\ ##0\);\-</c:formatCode>
                <c:ptCount val="4"/>
                <c:pt idx="0">
                  <c:v>52</c:v>
                </c:pt>
                <c:pt idx="1">
                  <c:v>11</c:v>
                </c:pt>
                <c:pt idx="2">
                  <c:v>36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74-4EB9-B8E6-3EC4B5C943F0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77803259741115716"/>
          <c:y val="0.40288895688097592"/>
          <c:w val="0.20462506131268687"/>
          <c:h val="0.32291262338147791"/>
        </c:manualLayout>
      </c:layout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PT"/>
              <a:t>Comparativo entre semanas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2.1388890760182917E-2"/>
          <c:y val="1.2299388420174225E-2"/>
          <c:w val="0.95722221847963418"/>
          <c:h val="0.94260285403918698"/>
        </c:manualLayout>
      </c:layout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Comparativo_Semanas!$A$7:$A$8</c:f>
              <c:strCache>
                <c:ptCount val="2"/>
                <c:pt idx="0">
                  <c:v>Total de propostas</c:v>
                </c:pt>
                <c:pt idx="1">
                  <c:v>Total aprovado</c:v>
                </c:pt>
              </c:strCache>
            </c:strRef>
          </c:cat>
          <c:val>
            <c:numRef>
              <c:f>Comparativo_Semanas!$B$7:$B$8</c:f>
              <c:numCache>
                <c:formatCode>"Kz "\ #\ ##0.00;[Red]\("Kz "\ #\ ##0.00\);"-"</c:formatCode>
                <c:ptCount val="2"/>
                <c:pt idx="0">
                  <c:v>818526703.08000004</c:v>
                </c:pt>
                <c:pt idx="1">
                  <c:v>48494289.880000003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04-495B-B20B-15E5EA5A6356}"/>
            </c:ext>
          </c:extLst>
        </c:ser>
        <c:ser>
          <c:idx val="1"/>
          <c:order val="1"/>
          <c:spPr>
            <a:ln>
              <a:prstDash val="solid"/>
            </a:ln>
          </c:spPr>
          <c:invertIfNegative val="1"/>
          <c:cat>
            <c:strRef>
              <c:f>Comparativo_Semanas!$A$7:$A$8</c:f>
              <c:strCache>
                <c:ptCount val="2"/>
                <c:pt idx="0">
                  <c:v>Total de propostas</c:v>
                </c:pt>
                <c:pt idx="1">
                  <c:v>Total aprovado</c:v>
                </c:pt>
              </c:strCache>
            </c:strRef>
          </c:cat>
          <c:val>
            <c:numRef>
              <c:f>Comparativo_Semanas!$C$7:$C$8</c:f>
              <c:numCache>
                <c:formatCode>"Kz "\ #\ ##0.00;[Red]\("Kz "\ #\ ##0.00\);"-"</c:formatCode>
                <c:ptCount val="2"/>
                <c:pt idx="0">
                  <c:v>759368075.74000001</c:v>
                </c:pt>
                <c:pt idx="1">
                  <c:v>61617079.619999997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04-495B-B20B-15E5EA5A6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&quot;Kz &quot;\ #\ ##0.00;[Red]\(&quot;Kz &quot;\ #\ ##0.00\)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178130</xdr:rowOff>
    </xdr:from>
    <xdr:ext cx="7026234" cy="334488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554180</xdr:colOff>
      <xdr:row>28</xdr:row>
      <xdr:rowOff>188026</xdr:rowOff>
    </xdr:from>
    <xdr:ext cx="5700157" cy="377041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29</xdr:row>
      <xdr:rowOff>89065</xdr:rowOff>
    </xdr:from>
    <xdr:ext cx="6531428" cy="3097715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2/Downloads/RELAT&#211;RIO%20DE%20CLIENTES%20DE%2006%20&#192;%2010%20DE%20JULHO%20DE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RELAT&#211;RIO%20COMERCIAL%20SEMANAL%20-%2013%20&#192;%2017%20DE%20JULHO%20DE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RELAT&#211;RIO%20COMERCIAL%20SEMANAL%20-%2027%20&#192;%2031%20DE%20JULHO%20DE%20202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RELAT&#211;RIO%20COMERCIAL%20SEMANAL%20-%2020%20&#192;%2024%20DE%20JULHO%20DE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s"/>
      <sheetName val="Capa"/>
      <sheetName val="Instruções_CRM"/>
      <sheetName val="Pipeline"/>
      <sheetName val="KPIs_Comerciais"/>
      <sheetName val="Comparativo_Semanas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_V5"/>
      <sheetName val="Metas_Performance"/>
      <sheetName val="Base_Duas_Semanas"/>
      <sheetName val="CRM_Proxima_Semana"/>
      <sheetName val="Comparativo"/>
      <sheetName val="Listas"/>
      <sheetName val="Manual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_V5"/>
      <sheetName val="Base_Duas_Semanas"/>
      <sheetName val="Metas_Performance"/>
      <sheetName val="CRM_Proxima_Semana"/>
      <sheetName val="Comparativo"/>
      <sheetName val="Listas"/>
      <sheetName val="Manual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_V5"/>
      <sheetName val="Base_Duas_Semanas"/>
      <sheetName val="Metas_Performance"/>
      <sheetName val="CRM_Proxima_Semana"/>
      <sheetName val="Comparativo"/>
      <sheetName val="Listas"/>
      <sheetName val="Manual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!@#$&#168;&amp;" TargetMode="External"/><Relationship Id="rId1" Type="http://schemas.openxmlformats.org/officeDocument/2006/relationships/hyperlink" Target="mailto:D!@#$&#168;&amp;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8"/>
  <sheetViews>
    <sheetView workbookViewId="0"/>
  </sheetViews>
  <sheetFormatPr defaultRowHeight="15" x14ac:dyDescent="0.25"/>
  <sheetData>
    <row r="2" spans="1:4" x14ac:dyDescent="0.25">
      <c r="A2" t="s">
        <v>0</v>
      </c>
      <c r="B2" t="s">
        <v>1</v>
      </c>
      <c r="D2" t="s">
        <v>2</v>
      </c>
    </row>
    <row r="3" spans="1:4" x14ac:dyDescent="0.25">
      <c r="A3" t="s">
        <v>3</v>
      </c>
      <c r="B3" t="s">
        <v>4</v>
      </c>
      <c r="D3" t="s">
        <v>5</v>
      </c>
    </row>
    <row r="4" spans="1:4" x14ac:dyDescent="0.25">
      <c r="A4" t="s">
        <v>6</v>
      </c>
      <c r="B4" t="s">
        <v>7</v>
      </c>
      <c r="D4" t="s">
        <v>8</v>
      </c>
    </row>
    <row r="5" spans="1:4" x14ac:dyDescent="0.25">
      <c r="A5" t="s">
        <v>9</v>
      </c>
      <c r="B5" t="s">
        <v>10</v>
      </c>
    </row>
    <row r="6" spans="1:4" x14ac:dyDescent="0.25">
      <c r="A6" t="s">
        <v>11</v>
      </c>
      <c r="B6" t="s">
        <v>12</v>
      </c>
    </row>
    <row r="7" spans="1:4" x14ac:dyDescent="0.25">
      <c r="A7" t="s">
        <v>13</v>
      </c>
    </row>
    <row r="8" spans="1:4" x14ac:dyDescent="0.25">
      <c r="A8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showGridLines="0" topLeftCell="A12" workbookViewId="0">
      <selection activeCell="A21" sqref="A21:H24"/>
    </sheetView>
  </sheetViews>
  <sheetFormatPr defaultRowHeight="15" x14ac:dyDescent="0.25"/>
  <cols>
    <col min="1" max="8" width="18" customWidth="1"/>
  </cols>
  <sheetData>
    <row r="1" spans="1:8" ht="24" customHeight="1" x14ac:dyDescent="0.25">
      <c r="A1" s="26" t="s">
        <v>15</v>
      </c>
      <c r="B1" s="27"/>
      <c r="C1" s="27"/>
      <c r="D1" s="27"/>
      <c r="E1" s="27"/>
      <c r="F1" s="27"/>
      <c r="G1" s="27"/>
      <c r="H1" s="27"/>
    </row>
    <row r="2" spans="1:8" ht="24" customHeight="1" x14ac:dyDescent="0.25">
      <c r="A2" s="27"/>
      <c r="B2" s="27"/>
      <c r="C2" s="27"/>
      <c r="D2" s="27"/>
      <c r="E2" s="27"/>
      <c r="F2" s="27"/>
      <c r="G2" s="27"/>
      <c r="H2" s="27"/>
    </row>
    <row r="3" spans="1:8" ht="24" customHeight="1" x14ac:dyDescent="0.25">
      <c r="A3" s="27"/>
      <c r="B3" s="27"/>
      <c r="C3" s="27"/>
      <c r="D3" s="27"/>
      <c r="E3" s="27"/>
      <c r="F3" s="27"/>
      <c r="G3" s="27"/>
      <c r="H3" s="27"/>
    </row>
    <row r="4" spans="1:8" ht="24" customHeight="1" x14ac:dyDescent="0.25"/>
    <row r="5" spans="1:8" ht="24" customHeight="1" x14ac:dyDescent="0.25">
      <c r="A5" s="30" t="s">
        <v>16</v>
      </c>
      <c r="B5" s="27"/>
      <c r="C5" s="27"/>
      <c r="D5" s="27"/>
      <c r="E5" s="27"/>
      <c r="F5" s="27"/>
      <c r="G5" s="27"/>
      <c r="H5" s="27"/>
    </row>
    <row r="6" spans="1:8" ht="24" customHeight="1" x14ac:dyDescent="0.25">
      <c r="A6" s="27"/>
      <c r="B6" s="27"/>
      <c r="C6" s="27"/>
      <c r="D6" s="27"/>
      <c r="E6" s="27"/>
      <c r="F6" s="27"/>
      <c r="G6" s="27"/>
      <c r="H6" s="27"/>
    </row>
    <row r="7" spans="1:8" ht="24" customHeight="1" x14ac:dyDescent="0.25"/>
    <row r="8" spans="1:8" ht="24" customHeight="1" x14ac:dyDescent="0.25">
      <c r="A8" s="28" t="s">
        <v>17</v>
      </c>
      <c r="B8" s="27"/>
      <c r="C8" s="27"/>
      <c r="D8" s="27"/>
      <c r="E8" s="28" t="s">
        <v>18</v>
      </c>
      <c r="F8" s="27"/>
      <c r="G8" s="27"/>
      <c r="H8" s="27"/>
    </row>
    <row r="9" spans="1:8" ht="24" customHeight="1" x14ac:dyDescent="0.25">
      <c r="A9" s="27"/>
      <c r="B9" s="27"/>
      <c r="C9" s="27"/>
      <c r="D9" s="27"/>
      <c r="E9" s="27"/>
      <c r="F9" s="27"/>
      <c r="G9" s="27"/>
      <c r="H9" s="27"/>
    </row>
    <row r="10" spans="1:8" ht="24" customHeight="1" x14ac:dyDescent="0.25">
      <c r="A10" s="27"/>
      <c r="B10" s="27"/>
      <c r="C10" s="27"/>
      <c r="D10" s="27"/>
      <c r="E10" s="27"/>
      <c r="F10" s="27"/>
      <c r="G10" s="27"/>
      <c r="H10" s="27"/>
    </row>
    <row r="11" spans="1:8" ht="24" customHeight="1" x14ac:dyDescent="0.25">
      <c r="A11" s="27"/>
      <c r="B11" s="27"/>
      <c r="C11" s="27"/>
      <c r="D11" s="27"/>
      <c r="E11" s="27"/>
      <c r="F11" s="27"/>
      <c r="G11" s="27"/>
      <c r="H11" s="27"/>
    </row>
    <row r="12" spans="1:8" ht="24" customHeight="1" x14ac:dyDescent="0.25">
      <c r="A12" s="27"/>
      <c r="B12" s="27"/>
      <c r="C12" s="27"/>
      <c r="D12" s="27"/>
      <c r="E12" s="27"/>
      <c r="F12" s="27"/>
      <c r="G12" s="27"/>
      <c r="H12" s="27"/>
    </row>
    <row r="13" spans="1:8" ht="24" customHeight="1" x14ac:dyDescent="0.25"/>
    <row r="14" spans="1:8" ht="24" customHeight="1" x14ac:dyDescent="0.25">
      <c r="A14" s="28" t="s">
        <v>19</v>
      </c>
      <c r="B14" s="27"/>
      <c r="C14" s="27"/>
      <c r="D14" s="27"/>
      <c r="E14" s="28" t="s">
        <v>20</v>
      </c>
      <c r="F14" s="27"/>
      <c r="G14" s="27"/>
      <c r="H14" s="27"/>
    </row>
    <row r="15" spans="1:8" ht="24" customHeight="1" x14ac:dyDescent="0.25">
      <c r="A15" s="27"/>
      <c r="B15" s="27"/>
      <c r="C15" s="27"/>
      <c r="D15" s="27"/>
      <c r="E15" s="27"/>
      <c r="F15" s="27"/>
      <c r="G15" s="27"/>
      <c r="H15" s="27"/>
    </row>
    <row r="16" spans="1:8" ht="24" customHeight="1" x14ac:dyDescent="0.25">
      <c r="A16" s="27"/>
      <c r="B16" s="27"/>
      <c r="C16" s="27"/>
      <c r="D16" s="27"/>
      <c r="E16" s="27"/>
      <c r="F16" s="27"/>
      <c r="G16" s="27"/>
      <c r="H16" s="27"/>
    </row>
    <row r="17" spans="1:8" ht="24" customHeight="1" x14ac:dyDescent="0.25">
      <c r="A17" s="27"/>
      <c r="B17" s="27"/>
      <c r="C17" s="27"/>
      <c r="D17" s="27"/>
      <c r="E17" s="27"/>
      <c r="F17" s="27"/>
      <c r="G17" s="27"/>
      <c r="H17" s="27"/>
    </row>
    <row r="18" spans="1:8" ht="24" customHeight="1" x14ac:dyDescent="0.25">
      <c r="A18" s="27"/>
      <c r="B18" s="27"/>
      <c r="C18" s="27"/>
      <c r="D18" s="27"/>
      <c r="E18" s="27"/>
      <c r="F18" s="27"/>
      <c r="G18" s="27"/>
      <c r="H18" s="27"/>
    </row>
    <row r="19" spans="1:8" ht="24" customHeight="1" x14ac:dyDescent="0.25"/>
    <row r="20" spans="1:8" ht="24" customHeight="1" x14ac:dyDescent="0.25"/>
    <row r="21" spans="1:8" ht="24" customHeight="1" x14ac:dyDescent="0.25">
      <c r="A21" s="29" t="s">
        <v>144</v>
      </c>
      <c r="B21" s="27"/>
      <c r="C21" s="27"/>
      <c r="D21" s="27"/>
      <c r="E21" s="27"/>
      <c r="F21" s="27"/>
      <c r="G21" s="27"/>
      <c r="H21" s="27"/>
    </row>
    <row r="22" spans="1:8" ht="24" customHeight="1" x14ac:dyDescent="0.25">
      <c r="A22" s="27"/>
      <c r="B22" s="27"/>
      <c r="C22" s="27"/>
      <c r="D22" s="27"/>
      <c r="E22" s="27"/>
      <c r="F22" s="27"/>
      <c r="G22" s="27"/>
      <c r="H22" s="27"/>
    </row>
    <row r="23" spans="1:8" ht="24" customHeight="1" x14ac:dyDescent="0.25">
      <c r="A23" s="27"/>
      <c r="B23" s="27"/>
      <c r="C23" s="27"/>
      <c r="D23" s="27"/>
      <c r="E23" s="27"/>
      <c r="F23" s="27"/>
      <c r="G23" s="27"/>
      <c r="H23" s="27"/>
    </row>
    <row r="24" spans="1:8" ht="24" customHeight="1" x14ac:dyDescent="0.25">
      <c r="A24" s="27"/>
      <c r="B24" s="27"/>
      <c r="C24" s="27"/>
      <c r="D24" s="27"/>
      <c r="E24" s="27"/>
      <c r="F24" s="27"/>
      <c r="G24" s="27"/>
      <c r="H24" s="27"/>
    </row>
    <row r="25" spans="1:8" ht="24" customHeight="1" x14ac:dyDescent="0.25"/>
    <row r="26" spans="1:8" ht="24" customHeight="1" x14ac:dyDescent="0.25"/>
    <row r="27" spans="1:8" ht="24" customHeight="1" x14ac:dyDescent="0.25"/>
    <row r="28" spans="1:8" ht="24" customHeight="1" x14ac:dyDescent="0.25"/>
    <row r="29" spans="1:8" ht="24" customHeight="1" x14ac:dyDescent="0.25"/>
  </sheetData>
  <mergeCells count="7">
    <mergeCell ref="A1:H3"/>
    <mergeCell ref="E8:H12"/>
    <mergeCell ref="A21:H24"/>
    <mergeCell ref="E14:H18"/>
    <mergeCell ref="A8:D12"/>
    <mergeCell ref="A5:H6"/>
    <mergeCell ref="A14:D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3"/>
  <sheetViews>
    <sheetView showGridLines="0" workbookViewId="0">
      <selection activeCell="C5" sqref="C5"/>
    </sheetView>
  </sheetViews>
  <sheetFormatPr defaultRowHeight="15" x14ac:dyDescent="0.25"/>
  <cols>
    <col min="1" max="1" width="4" customWidth="1"/>
    <col min="2" max="2" width="34" customWidth="1"/>
    <col min="3" max="3" width="95" customWidth="1"/>
  </cols>
  <sheetData>
    <row r="1" spans="2:3" x14ac:dyDescent="0.25">
      <c r="B1" s="31" t="s">
        <v>21</v>
      </c>
      <c r="C1" s="27"/>
    </row>
    <row r="2" spans="2:3" x14ac:dyDescent="0.25">
      <c r="B2" s="27"/>
      <c r="C2" s="27"/>
    </row>
    <row r="4" spans="2:3" ht="42" customHeight="1" x14ac:dyDescent="0.25">
      <c r="B4" s="1" t="s">
        <v>22</v>
      </c>
      <c r="C4" s="2" t="s">
        <v>23</v>
      </c>
    </row>
    <row r="5" spans="2:3" ht="42" customHeight="1" x14ac:dyDescent="0.25">
      <c r="B5" s="1" t="s">
        <v>24</v>
      </c>
      <c r="C5" s="2" t="s">
        <v>25</v>
      </c>
    </row>
    <row r="6" spans="2:3" ht="42" customHeight="1" x14ac:dyDescent="0.25">
      <c r="B6" s="1" t="s">
        <v>26</v>
      </c>
      <c r="C6" s="2" t="s">
        <v>27</v>
      </c>
    </row>
    <row r="7" spans="2:3" ht="42" customHeight="1" x14ac:dyDescent="0.25">
      <c r="B7" s="1" t="s">
        <v>28</v>
      </c>
      <c r="C7" s="2" t="s">
        <v>29</v>
      </c>
    </row>
    <row r="8" spans="2:3" ht="42" customHeight="1" x14ac:dyDescent="0.25">
      <c r="B8" s="1" t="s">
        <v>30</v>
      </c>
      <c r="C8" s="2" t="s">
        <v>31</v>
      </c>
    </row>
    <row r="9" spans="2:3" ht="42" customHeight="1" x14ac:dyDescent="0.25">
      <c r="B9" s="1" t="s">
        <v>32</v>
      </c>
      <c r="C9" s="2" t="s">
        <v>33</v>
      </c>
    </row>
    <row r="10" spans="2:3" ht="42" customHeight="1" x14ac:dyDescent="0.25">
      <c r="B10" s="1" t="s">
        <v>34</v>
      </c>
      <c r="C10" s="2" t="s">
        <v>35</v>
      </c>
    </row>
    <row r="11" spans="2:3" ht="42" customHeight="1" x14ac:dyDescent="0.25">
      <c r="B11" s="1" t="s">
        <v>36</v>
      </c>
      <c r="C11" s="2" t="s">
        <v>37</v>
      </c>
    </row>
    <row r="12" spans="2:3" ht="42" customHeight="1" x14ac:dyDescent="0.25">
      <c r="B12" s="1" t="s">
        <v>38</v>
      </c>
      <c r="C12" s="2" t="s">
        <v>39</v>
      </c>
    </row>
    <row r="13" spans="2:3" ht="42" customHeight="1" x14ac:dyDescent="0.25">
      <c r="B13" s="1" t="s">
        <v>40</v>
      </c>
      <c r="C13" s="2" t="s">
        <v>41</v>
      </c>
    </row>
  </sheetData>
  <mergeCells count="1">
    <mergeCell ref="B1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13"/>
  <sheetViews>
    <sheetView showGridLines="0" topLeftCell="L1" zoomScale="104" workbookViewId="0">
      <pane ySplit="1" topLeftCell="A2" activePane="bottomLeft" state="frozen"/>
      <selection pane="bottomLeft" activeCell="N4" sqref="N4"/>
    </sheetView>
  </sheetViews>
  <sheetFormatPr defaultRowHeight="15" x14ac:dyDescent="0.25"/>
  <cols>
    <col min="1" max="1" width="6.42578125" customWidth="1"/>
    <col min="2" max="2" width="15" style="64" customWidth="1"/>
    <col min="3" max="3" width="26" style="64" customWidth="1"/>
    <col min="4" max="4" width="36.140625" style="64" customWidth="1"/>
    <col min="5" max="5" width="22" style="64" customWidth="1"/>
    <col min="6" max="6" width="23.140625" style="84" customWidth="1"/>
    <col min="7" max="7" width="22.28515625" style="96" customWidth="1"/>
    <col min="8" max="8" width="22.85546875" style="96" customWidth="1"/>
    <col min="9" max="9" width="13" customWidth="1"/>
    <col min="10" max="10" width="22" style="65" customWidth="1"/>
    <col min="11" max="11" width="42" style="106" customWidth="1"/>
    <col min="12" max="12" width="16" style="64" customWidth="1"/>
    <col min="13" max="13" width="52.5703125" style="106" customWidth="1"/>
    <col min="14" max="14" width="14" style="64" customWidth="1"/>
    <col min="15" max="15" width="23.85546875" style="84" customWidth="1"/>
    <col min="16" max="16" width="15.5703125" style="64" customWidth="1"/>
    <col min="17" max="17" width="18" style="64" customWidth="1"/>
    <col min="18" max="18" width="16" style="64" customWidth="1"/>
  </cols>
  <sheetData>
    <row r="1" spans="1:18" ht="27.95" customHeight="1" x14ac:dyDescent="0.25">
      <c r="A1" s="3" t="s">
        <v>42</v>
      </c>
      <c r="B1" s="3" t="s">
        <v>43</v>
      </c>
      <c r="C1" s="3" t="s">
        <v>44</v>
      </c>
      <c r="D1" s="3" t="s">
        <v>45</v>
      </c>
      <c r="E1" s="3" t="s">
        <v>46</v>
      </c>
      <c r="F1" s="74" t="s">
        <v>47</v>
      </c>
      <c r="G1" s="85" t="s">
        <v>48</v>
      </c>
      <c r="H1" s="85" t="s">
        <v>49</v>
      </c>
      <c r="I1" s="3" t="s">
        <v>50</v>
      </c>
      <c r="J1" s="3" t="s">
        <v>51</v>
      </c>
      <c r="K1" s="3" t="s">
        <v>52</v>
      </c>
      <c r="L1" s="3" t="s">
        <v>53</v>
      </c>
      <c r="M1" s="3" t="s">
        <v>54</v>
      </c>
      <c r="N1" s="3" t="s">
        <v>55</v>
      </c>
      <c r="O1" s="74" t="s">
        <v>56</v>
      </c>
      <c r="P1" s="3" t="s">
        <v>57</v>
      </c>
      <c r="Q1" s="3" t="s">
        <v>58</v>
      </c>
      <c r="R1" s="3" t="s">
        <v>59</v>
      </c>
    </row>
    <row r="2" spans="1:18" ht="33.950000000000003" customHeight="1" x14ac:dyDescent="0.25">
      <c r="A2" s="20">
        <v>1</v>
      </c>
      <c r="B2" s="56">
        <v>46204</v>
      </c>
      <c r="C2" s="48" t="s">
        <v>145</v>
      </c>
      <c r="D2" s="48" t="s">
        <v>104</v>
      </c>
      <c r="E2" s="48" t="s">
        <v>7</v>
      </c>
      <c r="F2" s="75">
        <v>2755950</v>
      </c>
      <c r="G2" s="86">
        <v>2755950</v>
      </c>
      <c r="H2" s="86">
        <v>0</v>
      </c>
      <c r="I2" s="23">
        <v>1</v>
      </c>
      <c r="J2" s="52" t="s">
        <v>11</v>
      </c>
      <c r="K2" s="98" t="s">
        <v>148</v>
      </c>
      <c r="L2" s="56">
        <v>46240</v>
      </c>
      <c r="M2" s="98" t="s">
        <v>149</v>
      </c>
      <c r="N2" s="108">
        <f ca="1">IF(B2="","",TODAY()-B2)</f>
        <v>35</v>
      </c>
      <c r="O2" s="75">
        <f>F2*I2</f>
        <v>2755950</v>
      </c>
      <c r="P2" s="48" t="s">
        <v>8</v>
      </c>
      <c r="Q2" s="48" t="str">
        <f>IF(OR(F2&gt;=50000000,I2&gt;=0.75),"Alta",IF(OR(F2&gt;=5000000,I2&gt;=0.5),"Média","Normal"))</f>
        <v>Alta</v>
      </c>
      <c r="R2" s="48" t="str">
        <f>IF(E2="Proposta aprovada","Fechado ganho",IF(E2="Perdida","Fechado perdido","Aberto"))</f>
        <v>Fechado ganho</v>
      </c>
    </row>
    <row r="3" spans="1:18" ht="33.950000000000003" customHeight="1" x14ac:dyDescent="0.25">
      <c r="A3" s="20">
        <v>2</v>
      </c>
      <c r="B3" s="56">
        <v>46213</v>
      </c>
      <c r="C3" s="48" t="s">
        <v>145</v>
      </c>
      <c r="D3" s="48" t="s">
        <v>150</v>
      </c>
      <c r="E3" s="48" t="s">
        <v>7</v>
      </c>
      <c r="F3" s="75">
        <v>313500</v>
      </c>
      <c r="G3" s="86">
        <v>313500</v>
      </c>
      <c r="H3" s="86">
        <v>0</v>
      </c>
      <c r="I3" s="23">
        <v>1</v>
      </c>
      <c r="J3" s="52" t="s">
        <v>11</v>
      </c>
      <c r="K3" s="98" t="s">
        <v>148</v>
      </c>
      <c r="L3" s="56">
        <v>46240</v>
      </c>
      <c r="M3" s="98" t="s">
        <v>149</v>
      </c>
      <c r="N3" s="108">
        <f ca="1">IF(B3="","",TODAY()-B3)</f>
        <v>26</v>
      </c>
      <c r="O3" s="75">
        <f>F3*I3</f>
        <v>313500</v>
      </c>
      <c r="P3" s="48" t="s">
        <v>8</v>
      </c>
      <c r="Q3" s="48" t="str">
        <f>IF(OR(F3&gt;=50000000,I3&gt;=0.75),"Alta",IF(OR(F3&gt;=5000000,I3&gt;=0.5),"Média","Normal"))</f>
        <v>Alta</v>
      </c>
      <c r="R3" s="48" t="str">
        <f>IF(E3="Proposta aprovada","Fechado ganho",IF(E3="Perdida","Fechado perdido","Aberto"))</f>
        <v>Fechado ganho</v>
      </c>
    </row>
    <row r="4" spans="1:18" ht="33.950000000000003" customHeight="1" x14ac:dyDescent="0.25">
      <c r="A4" s="20">
        <v>3</v>
      </c>
      <c r="B4" s="56">
        <v>46211</v>
      </c>
      <c r="C4" s="48" t="s">
        <v>119</v>
      </c>
      <c r="D4" s="48" t="s">
        <v>150</v>
      </c>
      <c r="E4" s="48" t="s">
        <v>10</v>
      </c>
      <c r="F4" s="75">
        <v>3328800</v>
      </c>
      <c r="G4" s="86">
        <v>0</v>
      </c>
      <c r="H4" s="86">
        <v>3328800</v>
      </c>
      <c r="I4" s="23">
        <v>0</v>
      </c>
      <c r="J4" s="52" t="s">
        <v>11</v>
      </c>
      <c r="K4" s="98" t="s">
        <v>114</v>
      </c>
      <c r="L4" s="56">
        <v>46240</v>
      </c>
      <c r="M4" s="98" t="s">
        <v>151</v>
      </c>
      <c r="N4" s="108">
        <f ca="1">IF(B4="","",TODAY()-B4)</f>
        <v>28</v>
      </c>
      <c r="O4" s="75">
        <f ca="1">F4*IB+O4</f>
        <v>0</v>
      </c>
      <c r="P4" s="48" t="s">
        <v>5</v>
      </c>
      <c r="Q4" s="48" t="str">
        <f>IF(OR(F4&gt;=50000000,I4&gt;=0.75),"Alta",IF(OR(F4&gt;=5000000,I4&gt;=0.5),"Média","Normal"))</f>
        <v>Normal</v>
      </c>
      <c r="R4" s="48" t="str">
        <f>IF(E4="Proposta aprovada","Fechado ganho",IF(E4="Perdida","Fechado perdido","Aberto"))</f>
        <v>Fechado perdido</v>
      </c>
    </row>
    <row r="5" spans="1:18" ht="33.950000000000003" customHeight="1" x14ac:dyDescent="0.25">
      <c r="A5" s="20">
        <v>4</v>
      </c>
      <c r="B5" s="56">
        <v>46204</v>
      </c>
      <c r="C5" s="48" t="s">
        <v>105</v>
      </c>
      <c r="D5" s="48" t="s">
        <v>152</v>
      </c>
      <c r="E5" s="48" t="s">
        <v>7</v>
      </c>
      <c r="F5" s="75">
        <v>21161250</v>
      </c>
      <c r="G5" s="86">
        <v>21161250</v>
      </c>
      <c r="H5" s="86">
        <v>0</v>
      </c>
      <c r="I5" s="23">
        <v>1</v>
      </c>
      <c r="J5" s="52" t="s">
        <v>11</v>
      </c>
      <c r="K5" s="98" t="s">
        <v>153</v>
      </c>
      <c r="L5" s="56">
        <v>46240</v>
      </c>
      <c r="M5" s="98" t="s">
        <v>154</v>
      </c>
      <c r="N5" s="108">
        <f ca="1">IF(B5="","",TODAY()-B5)</f>
        <v>35</v>
      </c>
      <c r="O5" s="75">
        <f>F5*I5</f>
        <v>21161250</v>
      </c>
      <c r="P5" s="48" t="s">
        <v>2</v>
      </c>
      <c r="Q5" s="48" t="str">
        <f>IF(OR(F5&gt;=50000000,I5&gt;=0.75),"Alta",IF(OR(F5&gt;=5000000,I5&gt;=0.5),"Média","Normal"))</f>
        <v>Alta</v>
      </c>
      <c r="R5" s="48" t="str">
        <f>IF(E5="Proposta aprovada","Fechado ganho",IF(E5="Perdida","Fechado perdido","Aberto"))</f>
        <v>Fechado ganho</v>
      </c>
    </row>
    <row r="6" spans="1:18" ht="33.950000000000003" customHeight="1" x14ac:dyDescent="0.25">
      <c r="A6" s="20">
        <v>5</v>
      </c>
      <c r="B6" s="56">
        <v>46218</v>
      </c>
      <c r="C6" s="48" t="s">
        <v>105</v>
      </c>
      <c r="D6" s="48" t="s">
        <v>155</v>
      </c>
      <c r="E6" s="48" t="s">
        <v>4</v>
      </c>
      <c r="F6" s="75">
        <v>21161250</v>
      </c>
      <c r="G6" s="86">
        <v>0</v>
      </c>
      <c r="H6" s="86">
        <v>0</v>
      </c>
      <c r="I6" s="24">
        <v>0.6</v>
      </c>
      <c r="J6" s="52" t="s">
        <v>11</v>
      </c>
      <c r="K6" s="98" t="s">
        <v>140</v>
      </c>
      <c r="L6" s="56">
        <v>46240</v>
      </c>
      <c r="M6" s="98" t="s">
        <v>156</v>
      </c>
      <c r="N6" s="108">
        <f ca="1">IF(B6="","",TODAY()-B6)</f>
        <v>21</v>
      </c>
      <c r="O6" s="75">
        <f>F6*I6</f>
        <v>12696750</v>
      </c>
      <c r="P6" s="48" t="s">
        <v>2</v>
      </c>
      <c r="Q6" s="48" t="str">
        <f>IF(OR(F6&gt;=50000000,I6&gt;=0.75),"Alta",IF(OR(F6&gt;=5000000,I6&gt;=0.5),"Média","Normal"))</f>
        <v>Média</v>
      </c>
      <c r="R6" s="48" t="str">
        <f>IF(E6="Proposta aprovada","Fechado ganho",IF(E6="Perdida","Fechado perdido","Aberto"))</f>
        <v>Aberto</v>
      </c>
    </row>
    <row r="7" spans="1:18" ht="33.950000000000003" customHeight="1" x14ac:dyDescent="0.25">
      <c r="A7" s="20">
        <v>6</v>
      </c>
      <c r="B7" s="56">
        <v>46218</v>
      </c>
      <c r="C7" s="48" t="s">
        <v>105</v>
      </c>
      <c r="D7" s="48" t="s">
        <v>157</v>
      </c>
      <c r="E7" s="48" t="s">
        <v>7</v>
      </c>
      <c r="F7" s="75">
        <v>1687200</v>
      </c>
      <c r="G7" s="86">
        <v>1687200</v>
      </c>
      <c r="H7" s="86">
        <v>0</v>
      </c>
      <c r="I7" s="24">
        <v>1</v>
      </c>
      <c r="J7" s="52" t="s">
        <v>11</v>
      </c>
      <c r="K7" s="98" t="s">
        <v>126</v>
      </c>
      <c r="L7" s="56">
        <v>46240</v>
      </c>
      <c r="M7" s="98" t="s">
        <v>138</v>
      </c>
      <c r="N7" s="108">
        <f ca="1">IF(B7="","",TODAY()-B7)</f>
        <v>21</v>
      </c>
      <c r="O7" s="75">
        <f>F7*I7</f>
        <v>1687200</v>
      </c>
      <c r="P7" s="48" t="s">
        <v>2</v>
      </c>
      <c r="Q7" s="48" t="str">
        <f>IF(OR(F7&gt;=50000000,I7&gt;=0.75),"Alta",IF(OR(F7&gt;=5000000,I7&gt;=0.5),"Média","Normal"))</f>
        <v>Alta</v>
      </c>
      <c r="R7" s="48" t="str">
        <f>IF(E7="Proposta aprovada","Fechado ganho",IF(E7="Perdida","Fechado perdido","Aberto"))</f>
        <v>Fechado ganho</v>
      </c>
    </row>
    <row r="8" spans="1:18" ht="33.950000000000003" customHeight="1" x14ac:dyDescent="0.25">
      <c r="A8" s="20">
        <v>7</v>
      </c>
      <c r="B8" s="56">
        <v>46223</v>
      </c>
      <c r="C8" s="48" t="s">
        <v>105</v>
      </c>
      <c r="D8" s="48" t="s">
        <v>158</v>
      </c>
      <c r="E8" s="48" t="s">
        <v>10</v>
      </c>
      <c r="F8" s="75">
        <v>1508220</v>
      </c>
      <c r="G8" s="86">
        <v>0</v>
      </c>
      <c r="H8" s="86">
        <v>1508220</v>
      </c>
      <c r="I8" s="23">
        <v>0</v>
      </c>
      <c r="J8" s="52" t="s">
        <v>11</v>
      </c>
      <c r="K8" s="98" t="s">
        <v>114</v>
      </c>
      <c r="L8" s="56">
        <v>46240</v>
      </c>
      <c r="M8" s="98" t="s">
        <v>159</v>
      </c>
      <c r="N8" s="108">
        <f ca="1">IF(B8="","",TODAY()-B8)</f>
        <v>16</v>
      </c>
      <c r="O8" s="75">
        <f>F8*I8</f>
        <v>0</v>
      </c>
      <c r="P8" s="48" t="s">
        <v>2</v>
      </c>
      <c r="Q8" s="48" t="str">
        <f>IF(OR(F8&gt;=50000000,I8&gt;=0.75),"Alta",IF(OR(F8&gt;=5000000,I8&gt;=0.5),"Média","Normal"))</f>
        <v>Normal</v>
      </c>
      <c r="R8" s="48" t="str">
        <f>IF(E8="Proposta aprovada","Fechado ganho",IF(E8="Perdida","Fechado perdido","Aberto"))</f>
        <v>Fechado perdido</v>
      </c>
    </row>
    <row r="9" spans="1:18" ht="33.950000000000003" customHeight="1" x14ac:dyDescent="0.25">
      <c r="A9" s="20">
        <v>8</v>
      </c>
      <c r="B9" s="56">
        <v>46231</v>
      </c>
      <c r="C9" s="48" t="s">
        <v>105</v>
      </c>
      <c r="D9" s="48" t="s">
        <v>160</v>
      </c>
      <c r="E9" s="48" t="s">
        <v>7</v>
      </c>
      <c r="F9" s="75">
        <v>79800</v>
      </c>
      <c r="G9" s="86">
        <v>79800</v>
      </c>
      <c r="H9" s="86">
        <v>0</v>
      </c>
      <c r="I9" s="23">
        <v>1</v>
      </c>
      <c r="J9" s="52" t="s">
        <v>11</v>
      </c>
      <c r="K9" s="98" t="s">
        <v>106</v>
      </c>
      <c r="L9" s="56">
        <v>46240</v>
      </c>
      <c r="M9" s="98" t="s">
        <v>161</v>
      </c>
      <c r="N9" s="108">
        <f ca="1">IF(B9="","",TODAY()-B9)</f>
        <v>8</v>
      </c>
      <c r="O9" s="75">
        <f>F9*I9</f>
        <v>79800</v>
      </c>
      <c r="P9" s="48" t="s">
        <v>2</v>
      </c>
      <c r="Q9" s="48" t="str">
        <f>IF(OR(F9&gt;=50000000,I9&gt;=0.75),"Alta",IF(OR(F9&gt;=5000000,I9&gt;=0.5),"Média","Normal"))</f>
        <v>Alta</v>
      </c>
      <c r="R9" s="48" t="str">
        <f>IF(E9="Proposta aprovada","Fechado ganho",IF(E9="Perdida","Fechado perdido","Aberto"))</f>
        <v>Fechado ganho</v>
      </c>
    </row>
    <row r="10" spans="1:18" ht="33.950000000000003" customHeight="1" x14ac:dyDescent="0.25">
      <c r="A10" s="20">
        <v>9</v>
      </c>
      <c r="B10" s="56">
        <v>46212</v>
      </c>
      <c r="C10" s="48" t="s">
        <v>162</v>
      </c>
      <c r="D10" s="48" t="s">
        <v>163</v>
      </c>
      <c r="E10" s="48" t="s">
        <v>10</v>
      </c>
      <c r="F10" s="75">
        <v>1385100</v>
      </c>
      <c r="G10" s="86"/>
      <c r="H10" s="86">
        <v>1385100</v>
      </c>
      <c r="I10" s="21">
        <v>0</v>
      </c>
      <c r="J10" s="52" t="s">
        <v>11</v>
      </c>
      <c r="K10" s="98" t="s">
        <v>114</v>
      </c>
      <c r="L10" s="56">
        <v>46240</v>
      </c>
      <c r="M10" s="98" t="s">
        <v>175</v>
      </c>
      <c r="N10" s="108">
        <f ca="1">IF(B10="","",TODAY()-B10)</f>
        <v>27</v>
      </c>
      <c r="O10" s="75">
        <f>F10*I10</f>
        <v>0</v>
      </c>
      <c r="P10" s="48" t="s">
        <v>8</v>
      </c>
      <c r="Q10" s="48" t="str">
        <f>IF(OR(F10&gt;=50000000,I10&gt;=0.75),"Alta",IF(OR(F10&gt;=5000000,I10&gt;=0.5),"Média","Normal"))</f>
        <v>Normal</v>
      </c>
      <c r="R10" s="48" t="str">
        <f>IF(E10="Proposta aprovada","Fechado ganho",IF(E10="Perdida","Fechado perdido","Aberto"))</f>
        <v>Fechado perdido</v>
      </c>
    </row>
    <row r="11" spans="1:18" ht="33.950000000000003" customHeight="1" x14ac:dyDescent="0.25">
      <c r="A11" s="20">
        <v>10</v>
      </c>
      <c r="B11" s="56">
        <v>46210</v>
      </c>
      <c r="C11" s="48" t="s">
        <v>107</v>
      </c>
      <c r="D11" s="48" t="s">
        <v>164</v>
      </c>
      <c r="E11" s="48" t="s">
        <v>4</v>
      </c>
      <c r="F11" s="75">
        <v>6260880</v>
      </c>
      <c r="G11" s="86"/>
      <c r="H11" s="86">
        <v>0</v>
      </c>
      <c r="I11" s="23">
        <v>0.5</v>
      </c>
      <c r="J11" s="52" t="s">
        <v>11</v>
      </c>
      <c r="K11" s="98" t="s">
        <v>173</v>
      </c>
      <c r="L11" s="56">
        <v>46240</v>
      </c>
      <c r="M11" s="98" t="s">
        <v>174</v>
      </c>
      <c r="N11" s="108">
        <f ca="1">IF(B11="","",TODAY()-B11)</f>
        <v>29</v>
      </c>
      <c r="O11" s="75">
        <f>F11*I11</f>
        <v>3130440</v>
      </c>
      <c r="P11" s="48" t="s">
        <v>5</v>
      </c>
      <c r="Q11" s="48" t="str">
        <f>IF(OR(F11&gt;=50000000,I11&gt;=0.75),"Alta",IF(OR(F11&gt;=5000000,I11&gt;=0.5),"Média","Normal"))</f>
        <v>Média</v>
      </c>
      <c r="R11" s="48" t="str">
        <f>IF(E11="Proposta aprovada","Fechado ganho",IF(E11="Perdida","Fechado perdido","Aberto"))</f>
        <v>Aberto</v>
      </c>
    </row>
    <row r="12" spans="1:18" ht="33.950000000000003" customHeight="1" x14ac:dyDescent="0.25">
      <c r="A12" s="20">
        <v>11</v>
      </c>
      <c r="B12" s="56">
        <v>46209</v>
      </c>
      <c r="C12" s="48" t="s">
        <v>166</v>
      </c>
      <c r="D12" s="48" t="s">
        <v>167</v>
      </c>
      <c r="E12" s="48" t="s">
        <v>7</v>
      </c>
      <c r="F12" s="75">
        <v>758100</v>
      </c>
      <c r="G12" s="86">
        <v>758100</v>
      </c>
      <c r="H12" s="86">
        <v>0</v>
      </c>
      <c r="I12" s="23">
        <v>1</v>
      </c>
      <c r="J12" s="52" t="s">
        <v>11</v>
      </c>
      <c r="K12" s="98" t="s">
        <v>168</v>
      </c>
      <c r="L12" s="56">
        <v>46240</v>
      </c>
      <c r="M12" s="98" t="s">
        <v>138</v>
      </c>
      <c r="N12" s="108">
        <f ca="1">IF(B12="","",TODAY()-B12)</f>
        <v>30</v>
      </c>
      <c r="O12" s="75">
        <f>F12*I12</f>
        <v>758100</v>
      </c>
      <c r="P12" s="48" t="s">
        <v>5</v>
      </c>
      <c r="Q12" s="48" t="str">
        <f>IF(OR(F12&gt;=50000000,I12&gt;=0.75),"Alta",IF(OR(F12&gt;=5000000,I12&gt;=0.5),"Média","Normal"))</f>
        <v>Alta</v>
      </c>
      <c r="R12" s="48" t="str">
        <f>IF(E12="Proposta aprovada","Fechado ganho",IF(E12="Perdida","Fechado perdido","Aberto"))</f>
        <v>Fechado ganho</v>
      </c>
    </row>
    <row r="13" spans="1:18" ht="33.950000000000003" customHeight="1" x14ac:dyDescent="0.25">
      <c r="A13" s="20">
        <v>12</v>
      </c>
      <c r="B13" s="56">
        <v>46210</v>
      </c>
      <c r="C13" s="48" t="s">
        <v>169</v>
      </c>
      <c r="D13" s="48" t="s">
        <v>170</v>
      </c>
      <c r="E13" s="48" t="s">
        <v>1</v>
      </c>
      <c r="F13" s="75">
        <v>19418760</v>
      </c>
      <c r="G13" s="86">
        <v>0</v>
      </c>
      <c r="H13" s="86">
        <v>0</v>
      </c>
      <c r="I13" s="23">
        <v>0.4</v>
      </c>
      <c r="J13" s="52" t="s">
        <v>11</v>
      </c>
      <c r="K13" s="98" t="s">
        <v>171</v>
      </c>
      <c r="L13" s="56">
        <v>46240</v>
      </c>
      <c r="M13" s="98" t="s">
        <v>176</v>
      </c>
      <c r="N13" s="108">
        <f ca="1">IF(B13="","",TODAY()-B13)</f>
        <v>29</v>
      </c>
      <c r="O13" s="75">
        <f>F13*I13</f>
        <v>7767504</v>
      </c>
      <c r="P13" s="48" t="s">
        <v>8</v>
      </c>
      <c r="Q13" s="48" t="str">
        <f>IF(OR(F13&gt;=50000000,I13&gt;=0.75),"Alta",IF(OR(F13&gt;=5000000,I13&gt;=0.5),"Média","Normal"))</f>
        <v>Média</v>
      </c>
      <c r="R13" s="48" t="str">
        <f>IF(E13="Proposta aprovada","Fechado ganho",IF(E13="Perdida","Fechado perdido","Aberto"))</f>
        <v>Aberto</v>
      </c>
    </row>
    <row r="14" spans="1:18" ht="33.950000000000003" customHeight="1" x14ac:dyDescent="0.25">
      <c r="A14" s="20">
        <v>13</v>
      </c>
      <c r="B14" s="56">
        <v>46189</v>
      </c>
      <c r="C14" s="48" t="s">
        <v>100</v>
      </c>
      <c r="D14" s="48" t="s">
        <v>172</v>
      </c>
      <c r="E14" s="48" t="s">
        <v>4</v>
      </c>
      <c r="F14" s="75">
        <v>6958560</v>
      </c>
      <c r="G14" s="86"/>
      <c r="H14" s="86">
        <v>0</v>
      </c>
      <c r="I14" s="24">
        <v>0.6</v>
      </c>
      <c r="J14" s="52" t="s">
        <v>11</v>
      </c>
      <c r="K14" s="98" t="s">
        <v>173</v>
      </c>
      <c r="L14" s="56">
        <v>46240</v>
      </c>
      <c r="M14" s="98" t="s">
        <v>165</v>
      </c>
      <c r="N14" s="108">
        <f ca="1">IF(B14="","",TODAY()-B14)</f>
        <v>50</v>
      </c>
      <c r="O14" s="75">
        <f>F14*I14</f>
        <v>4175136</v>
      </c>
      <c r="P14" s="48" t="s">
        <v>5</v>
      </c>
      <c r="Q14" s="48" t="str">
        <f>IF(OR(F14&gt;=50000000,I14&gt;=0.75),"Alta",IF(OR(F14&gt;=5000000,I14&gt;=0.5),"Média","Normal"))</f>
        <v>Média</v>
      </c>
      <c r="R14" s="48" t="str">
        <f>IF(E14="Proposta aprovada","Fechado ganho",IF(E14="Perdida","Fechado perdido","Aberto"))</f>
        <v>Aberto</v>
      </c>
    </row>
    <row r="15" spans="1:18" ht="33.950000000000003" customHeight="1" x14ac:dyDescent="0.25">
      <c r="A15" s="20">
        <v>14</v>
      </c>
      <c r="B15" s="57">
        <v>46216</v>
      </c>
      <c r="C15" s="49" t="s">
        <v>117</v>
      </c>
      <c r="D15" s="49" t="s">
        <v>177</v>
      </c>
      <c r="E15" s="49" t="s">
        <v>1</v>
      </c>
      <c r="F15" s="76">
        <v>96124800</v>
      </c>
      <c r="G15" s="87">
        <v>0</v>
      </c>
      <c r="H15" s="87">
        <v>0</v>
      </c>
      <c r="I15" s="24">
        <v>0.4</v>
      </c>
      <c r="J15" s="52" t="s">
        <v>11</v>
      </c>
      <c r="K15" s="46" t="s">
        <v>178</v>
      </c>
      <c r="L15" s="57">
        <v>46240</v>
      </c>
      <c r="M15" s="46" t="s">
        <v>179</v>
      </c>
      <c r="N15" s="110">
        <f ca="1">IF(B15="","",MAX(0,TODAY()-B15))</f>
        <v>23</v>
      </c>
      <c r="O15" s="76">
        <f>IF(OR(F15="",I15=""),"",F15*I15)</f>
        <v>38449920</v>
      </c>
      <c r="P15" s="49" t="s">
        <v>2</v>
      </c>
      <c r="Q15" s="49" t="s">
        <v>123</v>
      </c>
      <c r="R15" s="53" t="s">
        <v>121</v>
      </c>
    </row>
    <row r="16" spans="1:18" ht="33.950000000000003" customHeight="1" x14ac:dyDescent="0.25">
      <c r="A16" s="20">
        <v>15</v>
      </c>
      <c r="B16" s="58">
        <v>46218</v>
      </c>
      <c r="C16" s="50" t="s">
        <v>181</v>
      </c>
      <c r="D16" s="50" t="s">
        <v>182</v>
      </c>
      <c r="E16" s="50" t="s">
        <v>7</v>
      </c>
      <c r="F16" s="77">
        <v>2017800</v>
      </c>
      <c r="G16" s="88">
        <v>2017800</v>
      </c>
      <c r="H16" s="88">
        <v>0</v>
      </c>
      <c r="I16" s="24">
        <v>1</v>
      </c>
      <c r="J16" s="52" t="s">
        <v>11</v>
      </c>
      <c r="K16" s="99" t="s">
        <v>183</v>
      </c>
      <c r="L16" s="57">
        <v>46240</v>
      </c>
      <c r="M16" s="99" t="s">
        <v>184</v>
      </c>
      <c r="N16" s="111">
        <f ca="1">IF(B16="","",MAX(0,TODAY()-B16))</f>
        <v>21</v>
      </c>
      <c r="O16" s="77">
        <f>IF(OR(F16="",I16=""),"",F16*I16)</f>
        <v>2017800</v>
      </c>
      <c r="P16" s="50" t="s">
        <v>5</v>
      </c>
      <c r="Q16" s="50" t="s">
        <v>123</v>
      </c>
      <c r="R16" s="54" t="s">
        <v>124</v>
      </c>
    </row>
    <row r="17" spans="1:18" ht="33.950000000000003" customHeight="1" x14ac:dyDescent="0.25">
      <c r="A17" s="20">
        <v>16</v>
      </c>
      <c r="B17" s="57">
        <v>46220</v>
      </c>
      <c r="C17" s="49" t="s">
        <v>185</v>
      </c>
      <c r="D17" s="49" t="s">
        <v>150</v>
      </c>
      <c r="E17" s="49" t="s">
        <v>7</v>
      </c>
      <c r="F17" s="76">
        <v>445700</v>
      </c>
      <c r="G17" s="87">
        <v>445700</v>
      </c>
      <c r="H17" s="87">
        <v>0</v>
      </c>
      <c r="I17" s="24">
        <v>1</v>
      </c>
      <c r="J17" s="52" t="s">
        <v>11</v>
      </c>
      <c r="K17" s="46" t="s">
        <v>186</v>
      </c>
      <c r="L17" s="57">
        <v>46240</v>
      </c>
      <c r="M17" s="46" t="s">
        <v>184</v>
      </c>
      <c r="N17" s="110">
        <f ca="1">IF(B17="","",MAX(0,TODAY()-B17))</f>
        <v>19</v>
      </c>
      <c r="O17" s="76">
        <f>IF(OR(F17="",I17=""),"",F17*I17)</f>
        <v>445700</v>
      </c>
      <c r="P17" s="49" t="s">
        <v>5</v>
      </c>
      <c r="Q17" s="49" t="s">
        <v>123</v>
      </c>
      <c r="R17" s="53" t="s">
        <v>124</v>
      </c>
    </row>
    <row r="18" spans="1:18" ht="33.950000000000003" customHeight="1" x14ac:dyDescent="0.25">
      <c r="A18" s="20">
        <v>17</v>
      </c>
      <c r="B18" s="58">
        <v>46220</v>
      </c>
      <c r="C18" s="50" t="s">
        <v>180</v>
      </c>
      <c r="D18" s="50" t="s">
        <v>187</v>
      </c>
      <c r="E18" s="50" t="s">
        <v>1</v>
      </c>
      <c r="F18" s="77">
        <v>1966500</v>
      </c>
      <c r="G18" s="88">
        <v>0</v>
      </c>
      <c r="H18" s="88">
        <v>0</v>
      </c>
      <c r="I18" s="24">
        <v>0.5</v>
      </c>
      <c r="J18" s="52" t="s">
        <v>11</v>
      </c>
      <c r="K18" s="99" t="s">
        <v>188</v>
      </c>
      <c r="L18" s="57">
        <v>46240</v>
      </c>
      <c r="M18" s="99" t="s">
        <v>189</v>
      </c>
      <c r="N18" s="111">
        <f ca="1">IF(B18="","",MAX(0,TODAY()-B18))</f>
        <v>19</v>
      </c>
      <c r="O18" s="77">
        <f>IF(OR(F18="",I18=""),"",F18*I18)</f>
        <v>983250</v>
      </c>
      <c r="P18" s="50" t="s">
        <v>2</v>
      </c>
      <c r="Q18" s="50" t="s">
        <v>125</v>
      </c>
      <c r="R18" s="54" t="s">
        <v>121</v>
      </c>
    </row>
    <row r="19" spans="1:18" ht="33.950000000000003" customHeight="1" x14ac:dyDescent="0.25">
      <c r="A19" s="20">
        <v>18</v>
      </c>
      <c r="B19" s="57">
        <v>46219</v>
      </c>
      <c r="C19" s="49" t="s">
        <v>169</v>
      </c>
      <c r="D19" s="49" t="s">
        <v>190</v>
      </c>
      <c r="E19" s="49" t="s">
        <v>1</v>
      </c>
      <c r="F19" s="76">
        <v>29641900</v>
      </c>
      <c r="G19" s="87">
        <v>0</v>
      </c>
      <c r="H19" s="87">
        <v>0</v>
      </c>
      <c r="I19" s="24">
        <v>0.4</v>
      </c>
      <c r="J19" s="52" t="s">
        <v>11</v>
      </c>
      <c r="K19" s="46" t="s">
        <v>191</v>
      </c>
      <c r="L19" s="57">
        <v>46240</v>
      </c>
      <c r="M19" s="46" t="s">
        <v>192</v>
      </c>
      <c r="N19" s="110">
        <f ca="1">IF(B19="","",MAX(0,TODAY()-B19))</f>
        <v>20</v>
      </c>
      <c r="O19" s="76">
        <f>IF(OR(F19="",I19=""),"",F19*I19)</f>
        <v>11856760</v>
      </c>
      <c r="P19" s="49" t="s">
        <v>8</v>
      </c>
      <c r="Q19" s="49" t="s">
        <v>125</v>
      </c>
      <c r="R19" s="53" t="s">
        <v>121</v>
      </c>
    </row>
    <row r="20" spans="1:18" ht="33.950000000000003" customHeight="1" x14ac:dyDescent="0.25">
      <c r="A20" s="20">
        <v>19</v>
      </c>
      <c r="B20" s="60">
        <v>46234</v>
      </c>
      <c r="C20" s="61" t="s">
        <v>100</v>
      </c>
      <c r="D20" s="61" t="s">
        <v>200</v>
      </c>
      <c r="E20" s="61" t="s">
        <v>1</v>
      </c>
      <c r="F20" s="78">
        <v>21906075.699999999</v>
      </c>
      <c r="G20" s="89">
        <v>0</v>
      </c>
      <c r="H20" s="89">
        <v>0</v>
      </c>
      <c r="I20" s="24">
        <v>0.4</v>
      </c>
      <c r="J20" s="52" t="s">
        <v>11</v>
      </c>
      <c r="K20" s="100" t="s">
        <v>201</v>
      </c>
      <c r="L20" s="57">
        <v>46240</v>
      </c>
      <c r="M20" s="100" t="s">
        <v>179</v>
      </c>
      <c r="N20" s="112">
        <f ca="1">IF(B20="","",MAX(0,TODAY()-B20))</f>
        <v>5</v>
      </c>
      <c r="O20" s="78">
        <f>IF(OR(F20="",I20=""),"",F20*I20)</f>
        <v>8762430.2799999993</v>
      </c>
      <c r="P20" s="61" t="s">
        <v>2</v>
      </c>
      <c r="Q20" s="62" t="s">
        <v>123</v>
      </c>
      <c r="R20" s="62" t="s">
        <v>121</v>
      </c>
    </row>
    <row r="21" spans="1:18" ht="33.950000000000003" customHeight="1" x14ac:dyDescent="0.25">
      <c r="A21" s="20">
        <v>20</v>
      </c>
      <c r="B21" s="59">
        <v>46230</v>
      </c>
      <c r="C21" s="51" t="s">
        <v>117</v>
      </c>
      <c r="D21" s="51" t="s">
        <v>193</v>
      </c>
      <c r="E21" s="51" t="s">
        <v>1</v>
      </c>
      <c r="F21" s="79">
        <v>21366450</v>
      </c>
      <c r="G21" s="90">
        <v>0</v>
      </c>
      <c r="H21" s="90">
        <v>0</v>
      </c>
      <c r="I21" s="24">
        <v>0.2</v>
      </c>
      <c r="J21" s="52" t="s">
        <v>11</v>
      </c>
      <c r="K21" s="101" t="s">
        <v>114</v>
      </c>
      <c r="L21" s="57">
        <v>46240</v>
      </c>
      <c r="M21" s="101" t="s">
        <v>202</v>
      </c>
      <c r="N21" s="113">
        <f ca="1">IF(B21="","",MAX(0,TODAY()-B21))</f>
        <v>9</v>
      </c>
      <c r="O21" s="79">
        <f>IF(OR(F21="",I21=""),"",F21*I21)</f>
        <v>4273290</v>
      </c>
      <c r="P21" s="51" t="s">
        <v>2</v>
      </c>
      <c r="Q21" s="55" t="s">
        <v>120</v>
      </c>
      <c r="R21" s="55" t="s">
        <v>121</v>
      </c>
    </row>
    <row r="22" spans="1:18" ht="33.950000000000003" customHeight="1" x14ac:dyDescent="0.25">
      <c r="A22" s="20">
        <v>21</v>
      </c>
      <c r="B22" s="60">
        <v>46230</v>
      </c>
      <c r="C22" s="61" t="s">
        <v>117</v>
      </c>
      <c r="D22" s="61" t="s">
        <v>194</v>
      </c>
      <c r="E22" s="61" t="s">
        <v>1</v>
      </c>
      <c r="F22" s="78">
        <v>1303020</v>
      </c>
      <c r="G22" s="89">
        <v>0</v>
      </c>
      <c r="H22" s="89">
        <v>0</v>
      </c>
      <c r="I22" s="24">
        <v>0.2</v>
      </c>
      <c r="J22" s="52" t="s">
        <v>11</v>
      </c>
      <c r="K22" s="100" t="s">
        <v>114</v>
      </c>
      <c r="L22" s="57">
        <v>46240</v>
      </c>
      <c r="M22" s="100" t="s">
        <v>202</v>
      </c>
      <c r="N22" s="112">
        <f ca="1">IF(B22="","",MAX(0,TODAY()-B22))</f>
        <v>9</v>
      </c>
      <c r="O22" s="78">
        <f>IF(OR(F22="",I22=""),"",F22*I22)</f>
        <v>260604</v>
      </c>
      <c r="P22" s="61" t="s">
        <v>2</v>
      </c>
      <c r="Q22" s="62" t="s">
        <v>123</v>
      </c>
      <c r="R22" s="62" t="s">
        <v>121</v>
      </c>
    </row>
    <row r="23" spans="1:18" ht="33.950000000000003" customHeight="1" x14ac:dyDescent="0.25">
      <c r="A23" s="20">
        <v>22</v>
      </c>
      <c r="B23" s="60">
        <v>46233</v>
      </c>
      <c r="C23" s="61" t="s">
        <v>180</v>
      </c>
      <c r="D23" s="61" t="s">
        <v>203</v>
      </c>
      <c r="E23" s="61" t="s">
        <v>1</v>
      </c>
      <c r="F23" s="78">
        <v>628995</v>
      </c>
      <c r="G23" s="89">
        <v>0</v>
      </c>
      <c r="H23" s="89">
        <v>0</v>
      </c>
      <c r="I23" s="24">
        <v>0.5</v>
      </c>
      <c r="J23" s="52" t="s">
        <v>11</v>
      </c>
      <c r="K23" s="100" t="s">
        <v>204</v>
      </c>
      <c r="L23" s="57">
        <v>46240</v>
      </c>
      <c r="M23" s="100" t="s">
        <v>205</v>
      </c>
      <c r="N23" s="112">
        <f ca="1">IF(B23="","",MAX(0,TODAY()-B23))</f>
        <v>6</v>
      </c>
      <c r="O23" s="78">
        <f>IF(OR(F23="",I23=""),"",F23*I23)</f>
        <v>314497.5</v>
      </c>
      <c r="P23" s="61" t="s">
        <v>2</v>
      </c>
      <c r="Q23" s="62" t="s">
        <v>123</v>
      </c>
      <c r="R23" s="62" t="s">
        <v>124</v>
      </c>
    </row>
    <row r="24" spans="1:18" ht="33.950000000000003" customHeight="1" x14ac:dyDescent="0.25">
      <c r="A24" s="20">
        <v>23</v>
      </c>
      <c r="B24" s="59">
        <v>46234</v>
      </c>
      <c r="C24" s="51" t="s">
        <v>206</v>
      </c>
      <c r="D24" s="51" t="s">
        <v>104</v>
      </c>
      <c r="E24" s="51" t="s">
        <v>1</v>
      </c>
      <c r="F24" s="79">
        <v>25891680</v>
      </c>
      <c r="G24" s="90">
        <v>0</v>
      </c>
      <c r="H24" s="90">
        <v>0</v>
      </c>
      <c r="I24" s="24">
        <v>0.2</v>
      </c>
      <c r="J24" s="52" t="s">
        <v>11</v>
      </c>
      <c r="K24" s="101" t="s">
        <v>114</v>
      </c>
      <c r="L24" s="57">
        <v>46240</v>
      </c>
      <c r="M24" s="101" t="s">
        <v>207</v>
      </c>
      <c r="N24" s="113">
        <f ca="1">IF(B24="","",MAX(0,TODAY()-B24))</f>
        <v>5</v>
      </c>
      <c r="O24" s="79">
        <f>IF(OR(F24="",I24=""),"",F24*I24)</f>
        <v>5178336</v>
      </c>
      <c r="P24" s="51" t="s">
        <v>5</v>
      </c>
      <c r="Q24" s="55" t="s">
        <v>125</v>
      </c>
      <c r="R24" s="55" t="s">
        <v>121</v>
      </c>
    </row>
    <row r="25" spans="1:18" ht="33.950000000000003" customHeight="1" x14ac:dyDescent="0.25">
      <c r="A25" s="20">
        <v>24</v>
      </c>
      <c r="B25" s="59">
        <v>46223</v>
      </c>
      <c r="C25" s="51" t="s">
        <v>118</v>
      </c>
      <c r="D25" s="51" t="s">
        <v>195</v>
      </c>
      <c r="E25" s="51" t="s">
        <v>7</v>
      </c>
      <c r="F25" s="79">
        <v>940500</v>
      </c>
      <c r="G25" s="91">
        <v>940500</v>
      </c>
      <c r="H25" s="97">
        <v>0</v>
      </c>
      <c r="I25" s="47">
        <v>1</v>
      </c>
      <c r="J25" s="52" t="s">
        <v>11</v>
      </c>
      <c r="K25" s="101" t="s">
        <v>196</v>
      </c>
      <c r="L25" s="59">
        <v>46240</v>
      </c>
      <c r="M25" s="101" t="s">
        <v>197</v>
      </c>
      <c r="N25" s="113">
        <f ca="1">IF(B25="","",MAX(0,TODAY()-B25))</f>
        <v>16</v>
      </c>
      <c r="O25" s="79">
        <f>IF(OR(F25="",I25=""),"",F25*I25)</f>
        <v>940500</v>
      </c>
      <c r="P25" s="51" t="s">
        <v>2</v>
      </c>
      <c r="Q25" s="51" t="s">
        <v>123</v>
      </c>
      <c r="R25" s="55" t="s">
        <v>121</v>
      </c>
    </row>
    <row r="26" spans="1:18" ht="33.950000000000003" customHeight="1" x14ac:dyDescent="0.25">
      <c r="A26" s="20">
        <v>25</v>
      </c>
      <c r="B26" s="57">
        <v>46226</v>
      </c>
      <c r="C26" s="49" t="s">
        <v>100</v>
      </c>
      <c r="D26" s="49" t="s">
        <v>198</v>
      </c>
      <c r="E26" s="49" t="s">
        <v>1</v>
      </c>
      <c r="F26" s="76">
        <v>6433020</v>
      </c>
      <c r="G26" s="87">
        <v>0</v>
      </c>
      <c r="H26" s="87">
        <v>0</v>
      </c>
      <c r="I26" s="24">
        <v>0.4</v>
      </c>
      <c r="J26" s="52" t="s">
        <v>11</v>
      </c>
      <c r="K26" s="46" t="s">
        <v>95</v>
      </c>
      <c r="L26" s="59">
        <v>46240</v>
      </c>
      <c r="M26" s="46" t="s">
        <v>199</v>
      </c>
      <c r="N26" s="110">
        <f ca="1">IF(B26="","",MAX(0,TODAY()-B26))</f>
        <v>13</v>
      </c>
      <c r="O26" s="76">
        <f>IF(OR(F26="",I26=""),"",F26*I26)</f>
        <v>2573208</v>
      </c>
      <c r="P26" s="49" t="s">
        <v>5</v>
      </c>
      <c r="Q26" s="49" t="s">
        <v>123</v>
      </c>
      <c r="R26" s="53" t="s">
        <v>121</v>
      </c>
    </row>
    <row r="27" spans="1:18" ht="33.950000000000003" customHeight="1" x14ac:dyDescent="0.25">
      <c r="A27" s="20">
        <v>26</v>
      </c>
      <c r="B27" s="56">
        <v>46198</v>
      </c>
      <c r="C27" s="48" t="s">
        <v>133</v>
      </c>
      <c r="D27" s="48" t="s">
        <v>208</v>
      </c>
      <c r="E27" s="48" t="s">
        <v>7</v>
      </c>
      <c r="F27" s="75">
        <v>2106150</v>
      </c>
      <c r="G27" s="86">
        <v>2106150</v>
      </c>
      <c r="H27" s="86">
        <v>0</v>
      </c>
      <c r="I27" s="23">
        <v>1</v>
      </c>
      <c r="J27" s="52" t="s">
        <v>3</v>
      </c>
      <c r="K27" s="98" t="s">
        <v>126</v>
      </c>
      <c r="L27" s="59">
        <v>46240</v>
      </c>
      <c r="M27" s="98" t="s">
        <v>138</v>
      </c>
      <c r="N27" s="108">
        <f ca="1">IF(B27="","",TODAY()-B27)</f>
        <v>41</v>
      </c>
      <c r="O27" s="75">
        <f>F27*I27</f>
        <v>2106150</v>
      </c>
      <c r="P27" s="48" t="s">
        <v>8</v>
      </c>
      <c r="Q27" s="48" t="str">
        <f>IF(OR(F27&gt;=50000000,I27&gt;=0.75),"Alta",IF(OR(F27&gt;=5000000,I27&gt;=0.5),"Média","Normal"))</f>
        <v>Alta</v>
      </c>
      <c r="R27" s="48" t="str">
        <f>IF(E27="Proposta aprovada","Fechado ganho",IF(E27="Perdida","Fechado perdido","Aberto"))</f>
        <v>Fechado ganho</v>
      </c>
    </row>
    <row r="28" spans="1:18" ht="33.950000000000003" customHeight="1" x14ac:dyDescent="0.25">
      <c r="A28" s="20">
        <v>27</v>
      </c>
      <c r="B28" s="56">
        <v>46209</v>
      </c>
      <c r="C28" s="48" t="s">
        <v>209</v>
      </c>
      <c r="D28" s="48" t="s">
        <v>210</v>
      </c>
      <c r="E28" s="48" t="s">
        <v>1</v>
      </c>
      <c r="F28" s="75">
        <v>2350680</v>
      </c>
      <c r="G28" s="86">
        <v>0</v>
      </c>
      <c r="H28" s="86">
        <v>0</v>
      </c>
      <c r="I28" s="23">
        <v>0.4</v>
      </c>
      <c r="J28" s="52" t="s">
        <v>3</v>
      </c>
      <c r="K28" s="98" t="s">
        <v>95</v>
      </c>
      <c r="L28" s="59">
        <v>46240</v>
      </c>
      <c r="M28" s="98" t="s">
        <v>97</v>
      </c>
      <c r="N28" s="108">
        <f ca="1">IF(B28="","",TODAY()-B28)</f>
        <v>30</v>
      </c>
      <c r="O28" s="75">
        <f>F28*I28</f>
        <v>940272</v>
      </c>
      <c r="P28" s="48" t="s">
        <v>5</v>
      </c>
      <c r="Q28" s="48" t="str">
        <f>IF(OR(F28&gt;=50000000,I28&gt;=0.75),"Alta",IF(OR(F28&gt;=5000000,I28&gt;=0.5),"Média","Normal"))</f>
        <v>Normal</v>
      </c>
      <c r="R28" s="48" t="str">
        <f>IF(E28="Proposta aprovada","Fechado ganho",IF(E28="Perdida","Fechado perdido","Aberto"))</f>
        <v>Aberto</v>
      </c>
    </row>
    <row r="29" spans="1:18" ht="33.950000000000003" customHeight="1" x14ac:dyDescent="0.25">
      <c r="A29" s="20">
        <v>28</v>
      </c>
      <c r="B29" s="56">
        <v>46213</v>
      </c>
      <c r="C29" s="48" t="s">
        <v>211</v>
      </c>
      <c r="D29" s="48" t="s">
        <v>131</v>
      </c>
      <c r="E29" s="48" t="s">
        <v>1</v>
      </c>
      <c r="F29" s="75">
        <v>6156000</v>
      </c>
      <c r="G29" s="86">
        <v>0</v>
      </c>
      <c r="H29" s="86">
        <v>0</v>
      </c>
      <c r="I29" s="23">
        <v>0.5</v>
      </c>
      <c r="J29" s="52" t="s">
        <v>3</v>
      </c>
      <c r="K29" s="98" t="s">
        <v>212</v>
      </c>
      <c r="L29" s="59">
        <v>46240</v>
      </c>
      <c r="M29" s="98" t="s">
        <v>97</v>
      </c>
      <c r="N29" s="108">
        <f ca="1">IF(B29="","",TODAY()-B29)</f>
        <v>26</v>
      </c>
      <c r="O29" s="75">
        <f>F29*I29</f>
        <v>3078000</v>
      </c>
      <c r="P29" s="48" t="s">
        <v>8</v>
      </c>
      <c r="Q29" s="48" t="str">
        <f>IF(OR(F29&gt;=50000000,I29&gt;=0.75),"Alta",IF(OR(F29&gt;=5000000,I29&gt;=0.5),"Média","Normal"))</f>
        <v>Média</v>
      </c>
      <c r="R29" s="48" t="str">
        <f>IF(E29="Proposta aprovada","Fechado ganho",IF(E29="Perdida","Fechado perdido","Aberto"))</f>
        <v>Aberto</v>
      </c>
    </row>
    <row r="30" spans="1:18" ht="33.950000000000003" customHeight="1" x14ac:dyDescent="0.25">
      <c r="A30" s="20">
        <v>29</v>
      </c>
      <c r="B30" s="56">
        <v>46211</v>
      </c>
      <c r="C30" s="48" t="s">
        <v>211</v>
      </c>
      <c r="D30" s="48" t="s">
        <v>137</v>
      </c>
      <c r="E30" s="48" t="s">
        <v>1</v>
      </c>
      <c r="F30" s="75">
        <v>3249000</v>
      </c>
      <c r="G30" s="86"/>
      <c r="H30" s="86">
        <v>0</v>
      </c>
      <c r="I30" s="21">
        <v>0.4</v>
      </c>
      <c r="J30" s="52" t="s">
        <v>3</v>
      </c>
      <c r="K30" s="98" t="s">
        <v>212</v>
      </c>
      <c r="L30" s="59">
        <v>46240</v>
      </c>
      <c r="M30" s="98" t="s">
        <v>97</v>
      </c>
      <c r="N30" s="108">
        <f ca="1">IF(B30="","",TODAY()-B30)</f>
        <v>28</v>
      </c>
      <c r="O30" s="75">
        <f>F30*I30</f>
        <v>1299600</v>
      </c>
      <c r="P30" s="48" t="s">
        <v>8</v>
      </c>
      <c r="Q30" s="48" t="str">
        <f>IF(OR(F30&gt;=50000000,I30&gt;=0.75),"Alta",IF(OR(F30&gt;=5000000,I30&gt;=0.5),"Média","Normal"))</f>
        <v>Normal</v>
      </c>
      <c r="R30" s="48" t="str">
        <f>IF(E30="Proposta aprovada","Fechado ganho",IF(E30="Perdida","Fechado perdido","Aberto"))</f>
        <v>Aberto</v>
      </c>
    </row>
    <row r="31" spans="1:18" ht="33.950000000000003" customHeight="1" x14ac:dyDescent="0.25">
      <c r="A31" s="20">
        <v>31</v>
      </c>
      <c r="B31" s="56">
        <v>46209</v>
      </c>
      <c r="C31" s="69" t="s">
        <v>127</v>
      </c>
      <c r="D31" s="48" t="s">
        <v>213</v>
      </c>
      <c r="E31" s="48" t="s">
        <v>10</v>
      </c>
      <c r="F31" s="75">
        <v>9095000</v>
      </c>
      <c r="G31" s="86"/>
      <c r="H31" s="86">
        <v>9095000</v>
      </c>
      <c r="I31" s="21">
        <v>0</v>
      </c>
      <c r="J31" s="52" t="s">
        <v>3</v>
      </c>
      <c r="K31" s="98" t="s">
        <v>214</v>
      </c>
      <c r="L31" s="59">
        <v>46240</v>
      </c>
      <c r="M31" s="98" t="s">
        <v>215</v>
      </c>
      <c r="N31" s="108">
        <f ca="1">IF(B31="","",TODAY()-B31)</f>
        <v>30</v>
      </c>
      <c r="O31" s="75">
        <f>F31*I31</f>
        <v>0</v>
      </c>
      <c r="P31" s="48" t="s">
        <v>8</v>
      </c>
      <c r="Q31" s="48" t="str">
        <f>IF(OR(F31&gt;=50000000,I31&gt;=0.75),"Alta",IF(OR(F31&gt;=5000000,I31&gt;=0.5),"Média","Normal"))</f>
        <v>Média</v>
      </c>
      <c r="R31" s="48" t="str">
        <f>IF(E31="Proposta aprovada","Fechado ganho",IF(E31="Perdida","Fechado perdido","Aberto"))</f>
        <v>Fechado perdido</v>
      </c>
    </row>
    <row r="32" spans="1:18" ht="33.950000000000003" customHeight="1" x14ac:dyDescent="0.25">
      <c r="A32" s="20">
        <v>32</v>
      </c>
      <c r="B32" s="56">
        <v>46206</v>
      </c>
      <c r="C32" s="48" t="s">
        <v>127</v>
      </c>
      <c r="D32" s="48" t="s">
        <v>216</v>
      </c>
      <c r="E32" s="48" t="s">
        <v>10</v>
      </c>
      <c r="F32" s="75">
        <v>2684700</v>
      </c>
      <c r="G32" s="86"/>
      <c r="H32" s="86">
        <v>2684700</v>
      </c>
      <c r="I32" s="24">
        <v>0</v>
      </c>
      <c r="J32" s="52" t="s">
        <v>3</v>
      </c>
      <c r="K32" s="98" t="s">
        <v>214</v>
      </c>
      <c r="L32" s="59">
        <v>46240</v>
      </c>
      <c r="M32" s="98" t="s">
        <v>217</v>
      </c>
      <c r="N32" s="108">
        <f ca="1">IF(B32="","",TODAY()-B32)</f>
        <v>33</v>
      </c>
      <c r="O32" s="75">
        <f>F32*I32</f>
        <v>0</v>
      </c>
      <c r="P32" s="48" t="s">
        <v>2</v>
      </c>
      <c r="Q32" s="48" t="str">
        <f>IF(OR(F32&gt;=50000000,I32&gt;=0.75),"Alta",IF(OR(F32&gt;=5000000,I32&gt;=0.5),"Média","Normal"))</f>
        <v>Normal</v>
      </c>
      <c r="R32" s="48" t="str">
        <f>IF(E32="Proposta aprovada","Fechado ganho",IF(E32="Perdida","Fechado perdido","Aberto"))</f>
        <v>Fechado perdido</v>
      </c>
    </row>
    <row r="33" spans="1:18" ht="33.950000000000003" customHeight="1" x14ac:dyDescent="0.25">
      <c r="A33" s="20">
        <v>33</v>
      </c>
      <c r="B33" s="59">
        <v>46182</v>
      </c>
      <c r="C33" s="51" t="s">
        <v>118</v>
      </c>
      <c r="D33" s="51" t="s">
        <v>220</v>
      </c>
      <c r="E33" s="51" t="s">
        <v>7</v>
      </c>
      <c r="F33" s="79">
        <v>339150</v>
      </c>
      <c r="G33" s="90">
        <v>339150</v>
      </c>
      <c r="H33" s="90">
        <v>0</v>
      </c>
      <c r="I33" s="24">
        <v>1</v>
      </c>
      <c r="J33" s="52" t="s">
        <v>3</v>
      </c>
      <c r="K33" s="101" t="s">
        <v>221</v>
      </c>
      <c r="L33" s="59">
        <v>46240</v>
      </c>
      <c r="M33" s="101" t="s">
        <v>222</v>
      </c>
      <c r="N33" s="113">
        <f ca="1">IF(B33="","",MAX(0,TODAY()-B33))</f>
        <v>57</v>
      </c>
      <c r="O33" s="79">
        <f>IF(OR(F33="",I33=""),"",F33*I33)</f>
        <v>339150</v>
      </c>
      <c r="P33" s="51" t="s">
        <v>2</v>
      </c>
      <c r="Q33" s="55" t="s">
        <v>125</v>
      </c>
      <c r="R33" s="55" t="s">
        <v>124</v>
      </c>
    </row>
    <row r="34" spans="1:18" ht="33.950000000000003" customHeight="1" x14ac:dyDescent="0.25">
      <c r="A34" s="20">
        <v>34</v>
      </c>
      <c r="B34" s="60">
        <v>46216</v>
      </c>
      <c r="C34" s="61" t="s">
        <v>127</v>
      </c>
      <c r="D34" s="61" t="s">
        <v>223</v>
      </c>
      <c r="E34" s="61" t="s">
        <v>7</v>
      </c>
      <c r="F34" s="78">
        <v>3135000</v>
      </c>
      <c r="G34" s="89">
        <v>3135000</v>
      </c>
      <c r="H34" s="89">
        <v>0</v>
      </c>
      <c r="I34" s="24">
        <v>1</v>
      </c>
      <c r="J34" s="52" t="s">
        <v>3</v>
      </c>
      <c r="K34" s="100" t="s">
        <v>233</v>
      </c>
      <c r="L34" s="59">
        <v>46240</v>
      </c>
      <c r="M34" s="100" t="s">
        <v>234</v>
      </c>
      <c r="N34" s="112">
        <f ca="1">IF(B34="","",MAX(0,TODAY()-B34))</f>
        <v>23</v>
      </c>
      <c r="O34" s="78">
        <f>IF(OR(F34="",I34=""),"",F34*I34)</f>
        <v>3135000</v>
      </c>
      <c r="P34" s="61" t="s">
        <v>2</v>
      </c>
      <c r="Q34" s="62" t="s">
        <v>123</v>
      </c>
      <c r="R34" s="62" t="s">
        <v>124</v>
      </c>
    </row>
    <row r="35" spans="1:18" ht="33.950000000000003" customHeight="1" x14ac:dyDescent="0.25">
      <c r="A35" s="20">
        <v>35</v>
      </c>
      <c r="B35" s="59">
        <v>46216</v>
      </c>
      <c r="C35" s="51" t="s">
        <v>224</v>
      </c>
      <c r="D35" s="51" t="s">
        <v>225</v>
      </c>
      <c r="E35" s="51" t="s">
        <v>10</v>
      </c>
      <c r="F35" s="79">
        <v>889200</v>
      </c>
      <c r="G35" s="90">
        <v>0</v>
      </c>
      <c r="H35" s="90">
        <v>889200</v>
      </c>
      <c r="I35" s="24">
        <v>0</v>
      </c>
      <c r="J35" s="52" t="s">
        <v>3</v>
      </c>
      <c r="K35" s="101" t="s">
        <v>232</v>
      </c>
      <c r="L35" s="59">
        <v>46240</v>
      </c>
      <c r="M35" s="101" t="s">
        <v>138</v>
      </c>
      <c r="N35" s="113">
        <f ca="1">IF(B35="","",MAX(0,TODAY()-B35))</f>
        <v>23</v>
      </c>
      <c r="O35" s="79">
        <f>IF(OR(F35="",I35=""),"",F35*I35)</f>
        <v>0</v>
      </c>
      <c r="P35" s="51" t="s">
        <v>8</v>
      </c>
      <c r="Q35" s="55" t="s">
        <v>125</v>
      </c>
      <c r="R35" s="55" t="s">
        <v>147</v>
      </c>
    </row>
    <row r="36" spans="1:18" ht="33.950000000000003" customHeight="1" x14ac:dyDescent="0.25">
      <c r="A36" s="20">
        <v>36</v>
      </c>
      <c r="B36" s="60">
        <v>46220</v>
      </c>
      <c r="C36" s="61" t="s">
        <v>226</v>
      </c>
      <c r="D36" s="61" t="s">
        <v>227</v>
      </c>
      <c r="E36" s="61" t="s">
        <v>1</v>
      </c>
      <c r="F36" s="78">
        <v>14248432.5</v>
      </c>
      <c r="G36" s="89">
        <v>0</v>
      </c>
      <c r="H36" s="89">
        <v>0</v>
      </c>
      <c r="I36" s="24">
        <v>0.5</v>
      </c>
      <c r="J36" s="52" t="s">
        <v>3</v>
      </c>
      <c r="K36" s="100" t="s">
        <v>228</v>
      </c>
      <c r="L36" s="59">
        <v>46240</v>
      </c>
      <c r="M36" s="100" t="s">
        <v>97</v>
      </c>
      <c r="N36" s="112">
        <f ca="1">IF(B36="","",MAX(0,TODAY()-B36))</f>
        <v>19</v>
      </c>
      <c r="O36" s="78">
        <f>IF(OR(F36="",I36=""),"",F36*I36)</f>
        <v>7124216.25</v>
      </c>
      <c r="P36" s="61" t="s">
        <v>8</v>
      </c>
      <c r="Q36" s="62" t="s">
        <v>120</v>
      </c>
      <c r="R36" s="62" t="s">
        <v>121</v>
      </c>
    </row>
    <row r="37" spans="1:18" ht="33.950000000000003" customHeight="1" x14ac:dyDescent="0.25">
      <c r="A37" s="20">
        <v>37</v>
      </c>
      <c r="B37" s="59">
        <v>46217</v>
      </c>
      <c r="C37" s="51" t="s">
        <v>211</v>
      </c>
      <c r="D37" s="51" t="s">
        <v>229</v>
      </c>
      <c r="E37" s="51" t="s">
        <v>1</v>
      </c>
      <c r="F37" s="79">
        <v>29724360</v>
      </c>
      <c r="G37" s="90">
        <v>0</v>
      </c>
      <c r="H37" s="90">
        <v>0</v>
      </c>
      <c r="I37" s="24">
        <v>0.4</v>
      </c>
      <c r="J37" s="52" t="s">
        <v>3</v>
      </c>
      <c r="K37" s="101" t="s">
        <v>230</v>
      </c>
      <c r="L37" s="59">
        <v>46240</v>
      </c>
      <c r="M37" s="101" t="s">
        <v>97</v>
      </c>
      <c r="N37" s="113">
        <f ca="1">IF(B37="","",MAX(0,TODAY()-B37))</f>
        <v>22</v>
      </c>
      <c r="O37" s="79">
        <f>IF(OR(F37="",I37=""),"",F37*I37)</f>
        <v>11889744</v>
      </c>
      <c r="P37" s="51" t="s">
        <v>8</v>
      </c>
      <c r="Q37" s="55" t="s">
        <v>120</v>
      </c>
      <c r="R37" s="55" t="s">
        <v>121</v>
      </c>
    </row>
    <row r="38" spans="1:18" ht="33.950000000000003" customHeight="1" x14ac:dyDescent="0.25">
      <c r="A38" s="20">
        <v>38</v>
      </c>
      <c r="B38" s="60">
        <v>46220</v>
      </c>
      <c r="C38" s="61" t="s">
        <v>130</v>
      </c>
      <c r="D38" s="61" t="s">
        <v>101</v>
      </c>
      <c r="E38" s="61" t="s">
        <v>1</v>
      </c>
      <c r="F38" s="78">
        <v>3583000</v>
      </c>
      <c r="G38" s="89">
        <v>0</v>
      </c>
      <c r="H38" s="89">
        <v>0</v>
      </c>
      <c r="I38" s="24">
        <v>0.4</v>
      </c>
      <c r="J38" s="52" t="s">
        <v>3</v>
      </c>
      <c r="K38" s="100" t="s">
        <v>231</v>
      </c>
      <c r="L38" s="59">
        <v>46240</v>
      </c>
      <c r="M38" s="100" t="s">
        <v>97</v>
      </c>
      <c r="N38" s="112">
        <f ca="1">IF(B38="","",MAX(0,TODAY()-B38))</f>
        <v>19</v>
      </c>
      <c r="O38" s="78">
        <f>IF(OR(F38="",I38=""),"",F38*I38)</f>
        <v>1433200</v>
      </c>
      <c r="P38" s="61" t="s">
        <v>5</v>
      </c>
      <c r="Q38" s="62" t="s">
        <v>120</v>
      </c>
      <c r="R38" s="62" t="s">
        <v>121</v>
      </c>
    </row>
    <row r="39" spans="1:18" ht="33.950000000000003" customHeight="1" x14ac:dyDescent="0.25">
      <c r="A39" s="20">
        <v>39</v>
      </c>
      <c r="B39" s="60">
        <v>46227</v>
      </c>
      <c r="C39" s="61" t="s">
        <v>128</v>
      </c>
      <c r="D39" s="61" t="s">
        <v>235</v>
      </c>
      <c r="E39" s="61" t="s">
        <v>1</v>
      </c>
      <c r="F39" s="78">
        <v>4008312.02</v>
      </c>
      <c r="G39" s="89">
        <v>0</v>
      </c>
      <c r="H39" s="89">
        <v>0</v>
      </c>
      <c r="I39" s="24">
        <v>0.5</v>
      </c>
      <c r="J39" s="52" t="s">
        <v>3</v>
      </c>
      <c r="K39" s="100" t="s">
        <v>236</v>
      </c>
      <c r="L39" s="59">
        <v>46240</v>
      </c>
      <c r="M39" s="100" t="s">
        <v>189</v>
      </c>
      <c r="N39" s="112">
        <f ca="1">IF(B39="","",MAX(0,TODAY()-B39))</f>
        <v>12</v>
      </c>
      <c r="O39" s="78">
        <f>IF(OR(F39="",I39=""),"",F39*I39)</f>
        <v>2004156.01</v>
      </c>
      <c r="P39" s="61" t="s">
        <v>2</v>
      </c>
      <c r="Q39" s="62" t="s">
        <v>125</v>
      </c>
      <c r="R39" s="62" t="s">
        <v>121</v>
      </c>
    </row>
    <row r="40" spans="1:18" ht="33.950000000000003" customHeight="1" x14ac:dyDescent="0.25">
      <c r="A40" s="20">
        <v>40</v>
      </c>
      <c r="B40" s="59">
        <v>46225</v>
      </c>
      <c r="C40" s="51" t="s">
        <v>237</v>
      </c>
      <c r="D40" s="51" t="s">
        <v>238</v>
      </c>
      <c r="E40" s="51" t="s">
        <v>7</v>
      </c>
      <c r="F40" s="79">
        <v>3975230</v>
      </c>
      <c r="G40" s="90">
        <v>3975230</v>
      </c>
      <c r="H40" s="90">
        <v>0</v>
      </c>
      <c r="I40" s="24">
        <v>1</v>
      </c>
      <c r="J40" s="52" t="s">
        <v>3</v>
      </c>
      <c r="K40" s="101" t="s">
        <v>239</v>
      </c>
      <c r="L40" s="59">
        <v>46240</v>
      </c>
      <c r="M40" s="101" t="s">
        <v>247</v>
      </c>
      <c r="N40" s="113">
        <f ca="1">IF(B40="","",MAX(0,TODAY()-B40))</f>
        <v>14</v>
      </c>
      <c r="O40" s="79">
        <f>IF(OR(F40="",I40=""),"",F40*I40)</f>
        <v>3975230</v>
      </c>
      <c r="P40" s="51" t="s">
        <v>8</v>
      </c>
      <c r="Q40" s="55" t="s">
        <v>125</v>
      </c>
      <c r="R40" s="55" t="s">
        <v>121</v>
      </c>
    </row>
    <row r="41" spans="1:18" ht="33.950000000000003" customHeight="1" x14ac:dyDescent="0.25">
      <c r="A41" s="20">
        <v>41</v>
      </c>
      <c r="B41" s="60">
        <v>46223</v>
      </c>
      <c r="C41" s="61" t="s">
        <v>240</v>
      </c>
      <c r="D41" s="61" t="s">
        <v>241</v>
      </c>
      <c r="E41" s="61" t="s">
        <v>1</v>
      </c>
      <c r="F41" s="78">
        <v>8390400</v>
      </c>
      <c r="G41" s="89">
        <v>0</v>
      </c>
      <c r="H41" s="89">
        <v>0</v>
      </c>
      <c r="I41" s="24">
        <v>0.4</v>
      </c>
      <c r="J41" s="52" t="s">
        <v>3</v>
      </c>
      <c r="K41" s="100" t="s">
        <v>242</v>
      </c>
      <c r="L41" s="59">
        <v>46240</v>
      </c>
      <c r="M41" s="100" t="s">
        <v>192</v>
      </c>
      <c r="N41" s="112">
        <f ca="1">IF(B41="","",MAX(0,TODAY()-B41))</f>
        <v>16</v>
      </c>
      <c r="O41" s="78">
        <f>IF(OR(F41="",I41=""),"",F41*I41)</f>
        <v>3356160</v>
      </c>
      <c r="P41" s="61" t="s">
        <v>2</v>
      </c>
      <c r="Q41" s="62" t="s">
        <v>125</v>
      </c>
      <c r="R41" s="62" t="s">
        <v>124</v>
      </c>
    </row>
    <row r="42" spans="1:18" ht="33.950000000000003" customHeight="1" x14ac:dyDescent="0.25">
      <c r="A42" s="20">
        <v>42</v>
      </c>
      <c r="B42" s="59">
        <v>46227</v>
      </c>
      <c r="C42" s="51" t="s">
        <v>243</v>
      </c>
      <c r="D42" s="51" t="s">
        <v>244</v>
      </c>
      <c r="E42" s="51" t="s">
        <v>1</v>
      </c>
      <c r="F42" s="79">
        <v>3344864.88</v>
      </c>
      <c r="G42" s="90">
        <v>0</v>
      </c>
      <c r="H42" s="90">
        <v>0</v>
      </c>
      <c r="I42" s="24">
        <v>0.5</v>
      </c>
      <c r="J42" s="52" t="s">
        <v>3</v>
      </c>
      <c r="K42" s="101" t="s">
        <v>242</v>
      </c>
      <c r="L42" s="59">
        <v>46240</v>
      </c>
      <c r="M42" s="101" t="s">
        <v>192</v>
      </c>
      <c r="N42" s="113">
        <f ca="1">IF(B42="","",MAX(0,TODAY()-B42))</f>
        <v>12</v>
      </c>
      <c r="O42" s="79">
        <f>IF(OR(F42="",I42=""),"",F42*I42)</f>
        <v>1672432.44</v>
      </c>
      <c r="P42" s="51" t="s">
        <v>2</v>
      </c>
      <c r="Q42" s="55" t="s">
        <v>123</v>
      </c>
      <c r="R42" s="55" t="s">
        <v>124</v>
      </c>
    </row>
    <row r="43" spans="1:18" ht="33.950000000000003" customHeight="1" x14ac:dyDescent="0.25">
      <c r="A43" s="20">
        <v>43</v>
      </c>
      <c r="B43" s="60">
        <v>46225</v>
      </c>
      <c r="C43" s="61" t="s">
        <v>118</v>
      </c>
      <c r="D43" s="61" t="s">
        <v>245</v>
      </c>
      <c r="E43" s="61" t="s">
        <v>4</v>
      </c>
      <c r="F43" s="78">
        <v>6561940.4199999999</v>
      </c>
      <c r="G43" s="89">
        <v>0</v>
      </c>
      <c r="H43" s="89">
        <v>0</v>
      </c>
      <c r="I43" s="24">
        <v>0.7</v>
      </c>
      <c r="J43" s="52" t="s">
        <v>3</v>
      </c>
      <c r="K43" s="100" t="s">
        <v>242</v>
      </c>
      <c r="L43" s="59">
        <v>46240</v>
      </c>
      <c r="M43" s="100" t="s">
        <v>138</v>
      </c>
      <c r="N43" s="112">
        <f ca="1">IF(B43="","",MAX(0,TODAY()-B43))</f>
        <v>14</v>
      </c>
      <c r="O43" s="78">
        <f>IF(OR(F43="",I43=""),"",F43*I43)</f>
        <v>4593358.2939999998</v>
      </c>
      <c r="P43" s="61" t="s">
        <v>8</v>
      </c>
      <c r="Q43" s="62" t="s">
        <v>125</v>
      </c>
      <c r="R43" s="62" t="s">
        <v>124</v>
      </c>
    </row>
    <row r="44" spans="1:18" ht="33.950000000000003" customHeight="1" x14ac:dyDescent="0.25">
      <c r="A44" s="20">
        <v>44</v>
      </c>
      <c r="B44" s="60">
        <v>46233</v>
      </c>
      <c r="C44" s="61" t="s">
        <v>141</v>
      </c>
      <c r="D44" s="61" t="s">
        <v>101</v>
      </c>
      <c r="E44" s="61" t="s">
        <v>1</v>
      </c>
      <c r="F44" s="78">
        <v>10411050</v>
      </c>
      <c r="G44" s="89">
        <v>0</v>
      </c>
      <c r="H44" s="89">
        <v>0</v>
      </c>
      <c r="I44" s="24">
        <v>0.4</v>
      </c>
      <c r="J44" s="52" t="s">
        <v>3</v>
      </c>
      <c r="K44" s="100" t="s">
        <v>95</v>
      </c>
      <c r="L44" s="60">
        <v>46240</v>
      </c>
      <c r="M44" s="100" t="s">
        <v>192</v>
      </c>
      <c r="N44" s="112">
        <f ca="1">IF(B44="","",MAX(0,TODAY()-B44))</f>
        <v>6</v>
      </c>
      <c r="O44" s="78">
        <f>IF(OR(F44="",I44=""),"",F44*I44)</f>
        <v>4164420</v>
      </c>
      <c r="P44" s="61" t="s">
        <v>8</v>
      </c>
      <c r="Q44" s="62" t="s">
        <v>125</v>
      </c>
      <c r="R44" s="62" t="s">
        <v>121</v>
      </c>
    </row>
    <row r="45" spans="1:18" ht="33.950000000000003" customHeight="1" x14ac:dyDescent="0.25">
      <c r="A45" s="20">
        <v>45</v>
      </c>
      <c r="B45" s="59">
        <v>46233</v>
      </c>
      <c r="C45" s="51" t="s">
        <v>141</v>
      </c>
      <c r="D45" s="51" t="s">
        <v>248</v>
      </c>
      <c r="E45" s="51" t="s">
        <v>1</v>
      </c>
      <c r="F45" s="79">
        <v>504450</v>
      </c>
      <c r="G45" s="90">
        <v>0</v>
      </c>
      <c r="H45" s="90">
        <v>0</v>
      </c>
      <c r="I45" s="24">
        <v>0.6</v>
      </c>
      <c r="J45" s="52" t="s">
        <v>3</v>
      </c>
      <c r="K45" s="101" t="s">
        <v>249</v>
      </c>
      <c r="L45" s="59">
        <v>46240</v>
      </c>
      <c r="M45" s="101" t="s">
        <v>250</v>
      </c>
      <c r="N45" s="113">
        <f ca="1">IF(B45="","",MAX(0,TODAY()-B45))</f>
        <v>6</v>
      </c>
      <c r="O45" s="79">
        <f>IF(OR(F45="",I45=""),"",F45*I45)</f>
        <v>302670</v>
      </c>
      <c r="P45" s="51" t="s">
        <v>8</v>
      </c>
      <c r="Q45" s="55" t="s">
        <v>125</v>
      </c>
      <c r="R45" s="55" t="s">
        <v>121</v>
      </c>
    </row>
    <row r="46" spans="1:18" ht="33.950000000000003" customHeight="1" x14ac:dyDescent="0.25">
      <c r="A46" s="20">
        <v>46</v>
      </c>
      <c r="B46" s="60">
        <v>46233</v>
      </c>
      <c r="C46" s="61" t="s">
        <v>251</v>
      </c>
      <c r="D46" s="61" t="s">
        <v>252</v>
      </c>
      <c r="E46" s="61" t="s">
        <v>1</v>
      </c>
      <c r="F46" s="78">
        <v>11058000</v>
      </c>
      <c r="G46" s="89">
        <v>0</v>
      </c>
      <c r="H46" s="89">
        <v>0</v>
      </c>
      <c r="I46" s="24">
        <v>0.3</v>
      </c>
      <c r="J46" s="52" t="s">
        <v>3</v>
      </c>
      <c r="K46" s="100" t="s">
        <v>95</v>
      </c>
      <c r="L46" s="60">
        <v>46240</v>
      </c>
      <c r="M46" s="100" t="s">
        <v>192</v>
      </c>
      <c r="N46" s="112">
        <f ca="1">IF(B46="","",MAX(0,TODAY()-B46))</f>
        <v>6</v>
      </c>
      <c r="O46" s="78">
        <f>IF(OR(F46="",I46=""),"",F46*I46)</f>
        <v>3317400</v>
      </c>
      <c r="P46" s="61" t="s">
        <v>8</v>
      </c>
      <c r="Q46" s="62" t="s">
        <v>123</v>
      </c>
      <c r="R46" s="62" t="s">
        <v>121</v>
      </c>
    </row>
    <row r="47" spans="1:18" ht="33.950000000000003" customHeight="1" x14ac:dyDescent="0.25">
      <c r="A47" s="20">
        <v>47</v>
      </c>
      <c r="B47" s="59">
        <v>46233</v>
      </c>
      <c r="C47" s="51" t="s">
        <v>129</v>
      </c>
      <c r="D47" s="51" t="s">
        <v>227</v>
      </c>
      <c r="E47" s="51" t="s">
        <v>1</v>
      </c>
      <c r="F47" s="79">
        <v>103968</v>
      </c>
      <c r="G47" s="90">
        <v>0</v>
      </c>
      <c r="H47" s="90">
        <v>0</v>
      </c>
      <c r="I47" s="24">
        <v>0.4</v>
      </c>
      <c r="J47" s="52" t="s">
        <v>3</v>
      </c>
      <c r="K47" s="101" t="s">
        <v>253</v>
      </c>
      <c r="L47" s="59">
        <v>46240</v>
      </c>
      <c r="M47" s="101" t="s">
        <v>254</v>
      </c>
      <c r="N47" s="113">
        <f ca="1">IF(B47="","",MAX(0,TODAY()-B47))</f>
        <v>6</v>
      </c>
      <c r="O47" s="79">
        <f>IF(OR(F47="",I47=""),"",F47*I47)</f>
        <v>41587.200000000004</v>
      </c>
      <c r="P47" s="51" t="s">
        <v>8</v>
      </c>
      <c r="Q47" s="55" t="s">
        <v>125</v>
      </c>
      <c r="R47" s="55" t="s">
        <v>121</v>
      </c>
    </row>
    <row r="48" spans="1:18" ht="33.950000000000003" customHeight="1" x14ac:dyDescent="0.25">
      <c r="A48" s="20">
        <v>48</v>
      </c>
      <c r="B48" s="60">
        <v>46233</v>
      </c>
      <c r="C48" s="61" t="s">
        <v>255</v>
      </c>
      <c r="D48" s="61" t="s">
        <v>256</v>
      </c>
      <c r="E48" s="61" t="s">
        <v>7</v>
      </c>
      <c r="F48" s="78">
        <v>85500</v>
      </c>
      <c r="G48" s="89">
        <v>85500</v>
      </c>
      <c r="H48" s="89">
        <v>0</v>
      </c>
      <c r="I48" s="24">
        <v>1</v>
      </c>
      <c r="J48" s="52" t="s">
        <v>3</v>
      </c>
      <c r="K48" s="100" t="s">
        <v>257</v>
      </c>
      <c r="L48" s="60">
        <v>46240</v>
      </c>
      <c r="M48" s="100" t="s">
        <v>138</v>
      </c>
      <c r="N48" s="112">
        <f ca="1">IF(B48="","",MAX(0,TODAY()-B48))</f>
        <v>6</v>
      </c>
      <c r="O48" s="78">
        <f>IF(OR(F48="",I48=""),"",F48*I48)</f>
        <v>85500</v>
      </c>
      <c r="P48" s="61" t="s">
        <v>8</v>
      </c>
      <c r="Q48" s="62" t="s">
        <v>120</v>
      </c>
      <c r="R48" s="62" t="s">
        <v>124</v>
      </c>
    </row>
    <row r="49" spans="1:18" ht="33.950000000000003" customHeight="1" x14ac:dyDescent="0.25">
      <c r="A49" s="20">
        <v>49</v>
      </c>
      <c r="B49" s="59">
        <v>46233</v>
      </c>
      <c r="C49" s="51" t="s">
        <v>258</v>
      </c>
      <c r="D49" s="51" t="s">
        <v>167</v>
      </c>
      <c r="E49" s="51" t="s">
        <v>1</v>
      </c>
      <c r="F49" s="79">
        <v>70265325</v>
      </c>
      <c r="G49" s="90">
        <v>0</v>
      </c>
      <c r="H49" s="90">
        <v>0</v>
      </c>
      <c r="I49" s="24">
        <v>0.4</v>
      </c>
      <c r="J49" s="52" t="s">
        <v>3</v>
      </c>
      <c r="K49" s="101" t="s">
        <v>230</v>
      </c>
      <c r="L49" s="59">
        <v>46240</v>
      </c>
      <c r="M49" s="101" t="s">
        <v>97</v>
      </c>
      <c r="N49" s="113">
        <f ca="1">IF(B49="","",MAX(0,TODAY()-B49))</f>
        <v>6</v>
      </c>
      <c r="O49" s="79">
        <f>IF(OR(F49="",I49=""),"",F49*I49)</f>
        <v>28106130</v>
      </c>
      <c r="P49" s="51" t="s">
        <v>8</v>
      </c>
      <c r="Q49" s="55" t="s">
        <v>120</v>
      </c>
      <c r="R49" s="55" t="s">
        <v>121</v>
      </c>
    </row>
    <row r="50" spans="1:18" ht="33.950000000000003" customHeight="1" x14ac:dyDescent="0.25">
      <c r="A50" s="20">
        <v>50</v>
      </c>
      <c r="B50" s="66">
        <v>46212</v>
      </c>
      <c r="C50" s="70" t="s">
        <v>110</v>
      </c>
      <c r="D50" s="70" t="s">
        <v>261</v>
      </c>
      <c r="E50" s="73" t="s">
        <v>10</v>
      </c>
      <c r="F50" s="80">
        <v>12398174.880000001</v>
      </c>
      <c r="G50" s="92">
        <v>0</v>
      </c>
      <c r="H50" s="92">
        <v>12398175</v>
      </c>
      <c r="I50" s="24">
        <v>0</v>
      </c>
      <c r="J50" s="52" t="s">
        <v>13</v>
      </c>
      <c r="K50" s="102" t="s">
        <v>114</v>
      </c>
      <c r="L50" s="107">
        <v>46240</v>
      </c>
      <c r="M50" s="102" t="s">
        <v>264</v>
      </c>
      <c r="N50" s="112">
        <f ca="1">IF(B50="","",MAX(0,TODAY()-B50))</f>
        <v>27</v>
      </c>
      <c r="O50" s="78">
        <f>IF(OR(F50="",I50=""),"",F50*I50)</f>
        <v>0</v>
      </c>
      <c r="P50" s="61" t="s">
        <v>2</v>
      </c>
      <c r="Q50" s="62" t="s">
        <v>120</v>
      </c>
      <c r="R50" s="62" t="s">
        <v>124</v>
      </c>
    </row>
    <row r="51" spans="1:18" ht="33.950000000000003" customHeight="1" x14ac:dyDescent="0.25">
      <c r="A51" s="20">
        <v>51</v>
      </c>
      <c r="B51" s="67">
        <v>46206</v>
      </c>
      <c r="C51" s="71" t="s">
        <v>262</v>
      </c>
      <c r="D51" s="71" t="s">
        <v>116</v>
      </c>
      <c r="E51" s="73" t="s">
        <v>7</v>
      </c>
      <c r="F51" s="81">
        <v>171000</v>
      </c>
      <c r="G51" s="93">
        <v>171000</v>
      </c>
      <c r="H51" s="93">
        <v>0</v>
      </c>
      <c r="I51" s="24">
        <v>1</v>
      </c>
      <c r="J51" s="52" t="s">
        <v>13</v>
      </c>
      <c r="K51" s="103" t="s">
        <v>263</v>
      </c>
      <c r="L51" s="107">
        <v>46240</v>
      </c>
      <c r="M51" s="103" t="s">
        <v>138</v>
      </c>
      <c r="N51" s="108">
        <f ca="1">IF(B51="","",TODAY()-B51)</f>
        <v>33</v>
      </c>
      <c r="O51" s="75">
        <f>F51*I51</f>
        <v>171000</v>
      </c>
      <c r="P51" s="48" t="s">
        <v>8</v>
      </c>
      <c r="Q51" s="48" t="str">
        <f>IF(OR(F51&gt;=50000000,I51&gt;=0.75),"Alta",IF(OR(F51&gt;=5000000,I51&gt;=0.5),"Média","Normal"))</f>
        <v>Alta</v>
      </c>
      <c r="R51" s="48" t="str">
        <f>IF(E51="Proposta aprovada","Fechado ganho",IF(E51="Perdida","Fechado perdido","Aberto"))</f>
        <v>Fechado ganho</v>
      </c>
    </row>
    <row r="52" spans="1:18" ht="33.950000000000003" customHeight="1" x14ac:dyDescent="0.25">
      <c r="A52" s="20">
        <v>52</v>
      </c>
      <c r="B52" s="68">
        <v>46210</v>
      </c>
      <c r="C52" s="72" t="s">
        <v>136</v>
      </c>
      <c r="D52" s="72" t="s">
        <v>218</v>
      </c>
      <c r="E52" s="72" t="s">
        <v>7</v>
      </c>
      <c r="F52" s="82">
        <v>2809820</v>
      </c>
      <c r="G52" s="94">
        <v>2809820</v>
      </c>
      <c r="H52" s="94">
        <v>0</v>
      </c>
      <c r="I52" s="47">
        <v>1</v>
      </c>
      <c r="J52" s="52" t="s">
        <v>13</v>
      </c>
      <c r="K52" s="104" t="s">
        <v>126</v>
      </c>
      <c r="L52" s="107">
        <v>46240</v>
      </c>
      <c r="M52" s="104" t="s">
        <v>138</v>
      </c>
      <c r="N52" s="109">
        <f ca="1">IF(B52="","",TODAY()-B52)</f>
        <v>29</v>
      </c>
      <c r="O52" s="82">
        <f>F52*I52</f>
        <v>2809820</v>
      </c>
      <c r="P52" s="72" t="s">
        <v>2</v>
      </c>
      <c r="Q52" s="72" t="str">
        <f>IF(OR(F52&gt;=50000000,I52&gt;=0.75),"Alta",IF(OR(F52&gt;=5000000,I52&gt;=0.5),"Média","Normal"))</f>
        <v>Alta</v>
      </c>
      <c r="R52" s="72" t="str">
        <f>IF(E52="Proposta aprovada","Fechado ganho",IF(E52="Perdida","Fechado perdido","Aberto"))</f>
        <v>Fechado ganho</v>
      </c>
    </row>
    <row r="53" spans="1:18" ht="33.950000000000003" customHeight="1" x14ac:dyDescent="0.25">
      <c r="A53" s="20">
        <v>53</v>
      </c>
      <c r="B53" s="68">
        <v>46209</v>
      </c>
      <c r="C53" s="72" t="s">
        <v>109</v>
      </c>
      <c r="D53" s="72" t="s">
        <v>265</v>
      </c>
      <c r="E53" s="72" t="s">
        <v>7</v>
      </c>
      <c r="F53" s="82">
        <v>7695000</v>
      </c>
      <c r="G53" s="94">
        <v>7695000</v>
      </c>
      <c r="H53" s="94">
        <v>0</v>
      </c>
      <c r="I53" s="47">
        <v>1</v>
      </c>
      <c r="J53" s="52" t="s">
        <v>13</v>
      </c>
      <c r="K53" s="104" t="s">
        <v>263</v>
      </c>
      <c r="L53" s="107">
        <v>46240</v>
      </c>
      <c r="M53" s="104" t="s">
        <v>138</v>
      </c>
      <c r="N53" s="109">
        <f ca="1">IF(B53="","",TODAY()-B53)</f>
        <v>30</v>
      </c>
      <c r="O53" s="82">
        <f>F53*I53</f>
        <v>7695000</v>
      </c>
      <c r="P53" s="72" t="s">
        <v>8</v>
      </c>
      <c r="Q53" s="72" t="str">
        <f>IF(OR(F53&gt;=50000000,I53&gt;=0.75),"Alta",IF(OR(F53&gt;=5000000,I53&gt;=0.5),"Média","Normal"))</f>
        <v>Alta</v>
      </c>
      <c r="R53" s="72" t="str">
        <f>IF(E53="Proposta aprovada","Fechado ganho",IF(E53="Perdida","Fechado perdido","Aberto"))</f>
        <v>Fechado ganho</v>
      </c>
    </row>
    <row r="54" spans="1:18" ht="33.950000000000003" customHeight="1" x14ac:dyDescent="0.25">
      <c r="A54" s="20">
        <v>54</v>
      </c>
      <c r="B54" s="68">
        <v>46210</v>
      </c>
      <c r="C54" s="72" t="s">
        <v>266</v>
      </c>
      <c r="D54" s="72" t="s">
        <v>267</v>
      </c>
      <c r="E54" s="72" t="s">
        <v>7</v>
      </c>
      <c r="F54" s="82">
        <v>222300</v>
      </c>
      <c r="G54" s="94">
        <v>222300</v>
      </c>
      <c r="H54" s="94">
        <v>0</v>
      </c>
      <c r="I54" s="47">
        <v>1</v>
      </c>
      <c r="J54" s="52" t="s">
        <v>13</v>
      </c>
      <c r="K54" s="104" t="s">
        <v>257</v>
      </c>
      <c r="L54" s="107">
        <v>46240</v>
      </c>
      <c r="M54" s="104" t="s">
        <v>138</v>
      </c>
      <c r="N54" s="109">
        <f ca="1">IF(B54="","",TODAY()-B54)</f>
        <v>29</v>
      </c>
      <c r="O54" s="82">
        <f>F54*I54</f>
        <v>222300</v>
      </c>
      <c r="P54" s="72" t="s">
        <v>5</v>
      </c>
      <c r="Q54" s="72" t="str">
        <f>IF(OR(F54&gt;=50000000,I54&gt;=0.75),"Alta",IF(OR(F54&gt;=5000000,I54&gt;=0.5),"Média","Normal"))</f>
        <v>Alta</v>
      </c>
      <c r="R54" s="72" t="str">
        <f>IF(E54="Proposta aprovada","Fechado ganho",IF(E54="Perdida","Fechado perdido","Aberto"))</f>
        <v>Fechado ganho</v>
      </c>
    </row>
    <row r="55" spans="1:18" ht="33.950000000000003" customHeight="1" x14ac:dyDescent="0.25">
      <c r="A55" s="20">
        <v>55</v>
      </c>
      <c r="B55" s="56">
        <v>46219</v>
      </c>
      <c r="C55" s="69" t="s">
        <v>136</v>
      </c>
      <c r="D55" s="48" t="s">
        <v>150</v>
      </c>
      <c r="E55" s="72" t="s">
        <v>7</v>
      </c>
      <c r="F55" s="75">
        <v>2530550</v>
      </c>
      <c r="G55" s="86">
        <v>2530550</v>
      </c>
      <c r="H55" s="86">
        <v>0</v>
      </c>
      <c r="I55" s="21">
        <v>1</v>
      </c>
      <c r="J55" s="52" t="s">
        <v>13</v>
      </c>
      <c r="K55" s="98" t="s">
        <v>126</v>
      </c>
      <c r="L55" s="56">
        <v>46240</v>
      </c>
      <c r="M55" s="98" t="s">
        <v>138</v>
      </c>
      <c r="N55" s="108">
        <f ca="1">IF(B55="","",MAX(0,TODAY()-B55))</f>
        <v>20</v>
      </c>
      <c r="O55" s="75">
        <f>IF(OR(F55="",I55=""),"",F55*I55)</f>
        <v>2530550</v>
      </c>
      <c r="P55" s="48" t="s">
        <v>5</v>
      </c>
      <c r="Q55" s="48" t="s">
        <v>123</v>
      </c>
      <c r="R55" s="48" t="s">
        <v>124</v>
      </c>
    </row>
    <row r="56" spans="1:18" ht="33.950000000000003" customHeight="1" x14ac:dyDescent="0.25">
      <c r="A56" s="20">
        <v>56</v>
      </c>
      <c r="B56" s="56">
        <v>46220</v>
      </c>
      <c r="C56" s="48" t="s">
        <v>246</v>
      </c>
      <c r="D56" s="48" t="s">
        <v>227</v>
      </c>
      <c r="E56" s="72" t="s">
        <v>1</v>
      </c>
      <c r="F56" s="75">
        <v>7060875</v>
      </c>
      <c r="G56" s="86">
        <v>0</v>
      </c>
      <c r="H56" s="86">
        <v>0</v>
      </c>
      <c r="I56" s="24">
        <v>0.4</v>
      </c>
      <c r="J56" s="52" t="s">
        <v>13</v>
      </c>
      <c r="K56" s="98" t="s">
        <v>275</v>
      </c>
      <c r="L56" s="56">
        <v>46240</v>
      </c>
      <c r="M56" s="98" t="s">
        <v>276</v>
      </c>
      <c r="N56" s="108">
        <f ca="1">IF(B56="","",MAX(0,TODAY()-B56))</f>
        <v>19</v>
      </c>
      <c r="O56" s="75">
        <f>IF(OR(F56="",I56=""),"",F56*I56)</f>
        <v>2824350</v>
      </c>
      <c r="P56" s="48" t="s">
        <v>5</v>
      </c>
      <c r="Q56" s="48" t="s">
        <v>125</v>
      </c>
      <c r="R56" s="48" t="s">
        <v>121</v>
      </c>
    </row>
    <row r="57" spans="1:18" ht="33.950000000000003" customHeight="1" x14ac:dyDescent="0.25">
      <c r="A57" s="20">
        <v>57</v>
      </c>
      <c r="B57" s="56">
        <v>46217</v>
      </c>
      <c r="C57" s="48" t="s">
        <v>134</v>
      </c>
      <c r="D57" s="48" t="s">
        <v>268</v>
      </c>
      <c r="E57" s="48" t="s">
        <v>1</v>
      </c>
      <c r="F57" s="75">
        <v>422712</v>
      </c>
      <c r="G57" s="86">
        <v>0</v>
      </c>
      <c r="H57" s="86">
        <v>0</v>
      </c>
      <c r="I57" s="24">
        <v>0.4</v>
      </c>
      <c r="J57" s="52" t="s">
        <v>13</v>
      </c>
      <c r="K57" s="98" t="s">
        <v>236</v>
      </c>
      <c r="L57" s="56">
        <v>46240</v>
      </c>
      <c r="M57" s="98" t="s">
        <v>250</v>
      </c>
      <c r="N57" s="108">
        <f ca="1">IF(B57="","",MAX(0,TODAY()-B57))</f>
        <v>22</v>
      </c>
      <c r="O57" s="75">
        <f>IF(OR(F57="",I57=""),"",F57*I57)</f>
        <v>169084.80000000002</v>
      </c>
      <c r="P57" s="48" t="s">
        <v>5</v>
      </c>
      <c r="Q57" s="48" t="s">
        <v>125</v>
      </c>
      <c r="R57" s="48" t="s">
        <v>121</v>
      </c>
    </row>
    <row r="58" spans="1:18" ht="33.950000000000003" customHeight="1" x14ac:dyDescent="0.25">
      <c r="A58" s="20">
        <v>58</v>
      </c>
      <c r="B58" s="56">
        <v>46219</v>
      </c>
      <c r="C58" s="48" t="s">
        <v>109</v>
      </c>
      <c r="D58" s="48" t="s">
        <v>269</v>
      </c>
      <c r="E58" s="48" t="s">
        <v>1</v>
      </c>
      <c r="F58" s="75">
        <v>1983600</v>
      </c>
      <c r="G58" s="86">
        <v>0</v>
      </c>
      <c r="H58" s="86">
        <v>0</v>
      </c>
      <c r="I58" s="24">
        <v>0.4</v>
      </c>
      <c r="J58" s="52" t="s">
        <v>13</v>
      </c>
      <c r="K58" s="98" t="s">
        <v>270</v>
      </c>
      <c r="L58" s="56">
        <v>46240</v>
      </c>
      <c r="M58" s="98" t="s">
        <v>176</v>
      </c>
      <c r="N58" s="108">
        <f ca="1">IF(B58="","",MAX(0,TODAY()-B58))</f>
        <v>20</v>
      </c>
      <c r="O58" s="75">
        <f>IF(OR(F58="",I58=""),"",F58*I58)</f>
        <v>793440</v>
      </c>
      <c r="P58" s="48" t="s">
        <v>5</v>
      </c>
      <c r="Q58" s="48" t="s">
        <v>125</v>
      </c>
      <c r="R58" s="48" t="s">
        <v>121</v>
      </c>
    </row>
    <row r="59" spans="1:18" ht="33.950000000000003" customHeight="1" x14ac:dyDescent="0.25">
      <c r="A59" s="20">
        <v>59</v>
      </c>
      <c r="B59" s="56">
        <v>46220</v>
      </c>
      <c r="C59" s="48" t="s">
        <v>271</v>
      </c>
      <c r="D59" s="48" t="s">
        <v>272</v>
      </c>
      <c r="E59" s="48" t="s">
        <v>7</v>
      </c>
      <c r="F59" s="75">
        <v>7296000</v>
      </c>
      <c r="G59" s="86">
        <v>7296000</v>
      </c>
      <c r="H59" s="86">
        <v>0</v>
      </c>
      <c r="I59" s="24">
        <v>1</v>
      </c>
      <c r="J59" s="52" t="s">
        <v>13</v>
      </c>
      <c r="K59" s="98" t="s">
        <v>273</v>
      </c>
      <c r="L59" s="56">
        <v>46240</v>
      </c>
      <c r="M59" s="98" t="s">
        <v>277</v>
      </c>
      <c r="N59" s="108">
        <f ca="1">IF(B59="","",MAX(0,TODAY()-B59))</f>
        <v>19</v>
      </c>
      <c r="O59" s="75">
        <f>IF(OR(F59="",I59=""),"",F59*I59)</f>
        <v>7296000</v>
      </c>
      <c r="P59" s="48" t="s">
        <v>2</v>
      </c>
      <c r="Q59" s="48" t="s">
        <v>123</v>
      </c>
      <c r="R59" s="48" t="s">
        <v>124</v>
      </c>
    </row>
    <row r="60" spans="1:18" ht="33.950000000000003" customHeight="1" x14ac:dyDescent="0.25">
      <c r="A60" s="20">
        <v>60</v>
      </c>
      <c r="B60" s="56">
        <v>46226</v>
      </c>
      <c r="C60" s="48" t="s">
        <v>246</v>
      </c>
      <c r="D60" s="48" t="s">
        <v>227</v>
      </c>
      <c r="E60" s="48" t="s">
        <v>1</v>
      </c>
      <c r="F60" s="75">
        <v>449730</v>
      </c>
      <c r="G60" s="86">
        <v>0</v>
      </c>
      <c r="H60" s="86">
        <v>0</v>
      </c>
      <c r="I60" s="24">
        <v>0.4</v>
      </c>
      <c r="J60" s="52" t="s">
        <v>13</v>
      </c>
      <c r="K60" s="98" t="s">
        <v>242</v>
      </c>
      <c r="L60" s="56">
        <v>46240</v>
      </c>
      <c r="M60" s="98" t="s">
        <v>97</v>
      </c>
      <c r="N60" s="108">
        <f ca="1">IF(B60="","",MAX(0,TODAY()-B60))</f>
        <v>13</v>
      </c>
      <c r="O60" s="75">
        <f>IF(OR(F60="",I60=""),"",F60*I60)</f>
        <v>179892</v>
      </c>
      <c r="P60" s="48" t="s">
        <v>8</v>
      </c>
      <c r="Q60" s="48" t="s">
        <v>120</v>
      </c>
      <c r="R60" s="48" t="s">
        <v>121</v>
      </c>
    </row>
    <row r="61" spans="1:18" ht="33.950000000000003" customHeight="1" x14ac:dyDescent="0.25">
      <c r="A61" s="20">
        <v>61</v>
      </c>
      <c r="B61" s="56">
        <v>46227</v>
      </c>
      <c r="C61" s="48" t="s">
        <v>110</v>
      </c>
      <c r="D61" s="48" t="s">
        <v>278</v>
      </c>
      <c r="E61" s="48" t="s">
        <v>4</v>
      </c>
      <c r="F61" s="75">
        <v>4090548</v>
      </c>
      <c r="G61" s="86">
        <v>0</v>
      </c>
      <c r="H61" s="86">
        <v>0</v>
      </c>
      <c r="I61" s="24">
        <v>0.4</v>
      </c>
      <c r="J61" s="52" t="s">
        <v>13</v>
      </c>
      <c r="K61" s="98" t="s">
        <v>230</v>
      </c>
      <c r="L61" s="56">
        <v>46240</v>
      </c>
      <c r="M61" s="98" t="s">
        <v>97</v>
      </c>
      <c r="N61" s="108">
        <f ca="1">IF(B61="","",MAX(0,TODAY()-B61))</f>
        <v>12</v>
      </c>
      <c r="O61" s="75">
        <f>IF(OR(F61="",I61=""),"",F61*I61)</f>
        <v>1636219.2000000002</v>
      </c>
      <c r="P61" s="48" t="s">
        <v>8</v>
      </c>
      <c r="Q61" s="48" t="s">
        <v>120</v>
      </c>
      <c r="R61" s="48" t="s">
        <v>121</v>
      </c>
    </row>
    <row r="62" spans="1:18" ht="33.950000000000003" customHeight="1" x14ac:dyDescent="0.25">
      <c r="A62" s="20">
        <v>62</v>
      </c>
      <c r="B62" s="56">
        <v>46230</v>
      </c>
      <c r="C62" s="48" t="s">
        <v>136</v>
      </c>
      <c r="D62" s="48" t="s">
        <v>259</v>
      </c>
      <c r="E62" s="48" t="s">
        <v>7</v>
      </c>
      <c r="F62" s="75">
        <v>1326800</v>
      </c>
      <c r="G62" s="86">
        <v>1326800</v>
      </c>
      <c r="H62" s="86">
        <v>0</v>
      </c>
      <c r="I62" s="21">
        <v>1</v>
      </c>
      <c r="J62" s="52" t="s">
        <v>13</v>
      </c>
      <c r="K62" s="98" t="s">
        <v>260</v>
      </c>
      <c r="L62" s="56">
        <v>46240</v>
      </c>
      <c r="M62" s="98" t="s">
        <v>138</v>
      </c>
      <c r="N62" s="108">
        <f ca="1">IF(B62="","",MAX(0,TODAY()-B62))</f>
        <v>9</v>
      </c>
      <c r="O62" s="75">
        <f>IF(OR(F62="",I62=""),"",F62*I62)</f>
        <v>1326800</v>
      </c>
      <c r="P62" s="48" t="s">
        <v>2</v>
      </c>
      <c r="Q62" s="48" t="s">
        <v>120</v>
      </c>
      <c r="R62" s="48" t="s">
        <v>124</v>
      </c>
    </row>
    <row r="63" spans="1:18" ht="33.950000000000003" customHeight="1" x14ac:dyDescent="0.25">
      <c r="A63" s="20">
        <v>63</v>
      </c>
      <c r="B63" s="56">
        <v>46230</v>
      </c>
      <c r="C63" s="48" t="s">
        <v>110</v>
      </c>
      <c r="D63" s="48" t="s">
        <v>279</v>
      </c>
      <c r="E63" s="48" t="s">
        <v>4</v>
      </c>
      <c r="F63" s="75">
        <v>6462892</v>
      </c>
      <c r="G63" s="86">
        <v>0</v>
      </c>
      <c r="H63" s="86">
        <v>0</v>
      </c>
      <c r="I63" s="24">
        <v>0.4</v>
      </c>
      <c r="J63" s="52" t="s">
        <v>13</v>
      </c>
      <c r="K63" s="98" t="s">
        <v>280</v>
      </c>
      <c r="L63" s="56">
        <v>46240</v>
      </c>
      <c r="M63" s="98" t="s">
        <v>281</v>
      </c>
      <c r="N63" s="108">
        <f ca="1">IF(B63="","",MAX(0,TODAY()-B63))</f>
        <v>9</v>
      </c>
      <c r="O63" s="75">
        <f>IF(OR(F63="",I63=""),"",F63*I63)</f>
        <v>2585156.8000000003</v>
      </c>
      <c r="P63" s="48" t="s">
        <v>5</v>
      </c>
      <c r="Q63" s="48" t="s">
        <v>123</v>
      </c>
      <c r="R63" s="48" t="s">
        <v>121</v>
      </c>
    </row>
    <row r="64" spans="1:18" ht="33.950000000000003" customHeight="1" x14ac:dyDescent="0.25">
      <c r="A64" s="20">
        <v>64</v>
      </c>
      <c r="B64" s="56">
        <v>46231</v>
      </c>
      <c r="C64" s="48" t="s">
        <v>282</v>
      </c>
      <c r="D64" s="48" t="s">
        <v>283</v>
      </c>
      <c r="E64" s="48" t="s">
        <v>4</v>
      </c>
      <c r="F64" s="75">
        <v>15133500</v>
      </c>
      <c r="G64" s="86">
        <v>0</v>
      </c>
      <c r="H64" s="86">
        <v>0</v>
      </c>
      <c r="I64" s="24">
        <v>0.4</v>
      </c>
      <c r="J64" s="52" t="s">
        <v>13</v>
      </c>
      <c r="K64" s="98" t="s">
        <v>236</v>
      </c>
      <c r="L64" s="56">
        <v>46240</v>
      </c>
      <c r="M64" s="98" t="s">
        <v>284</v>
      </c>
      <c r="N64" s="108">
        <f ca="1">IF(B64="","",MAX(0,TODAY()-B64))</f>
        <v>8</v>
      </c>
      <c r="O64" s="75">
        <f>IF(OR(F64="",I64=""),"",F64*I64)</f>
        <v>6053400</v>
      </c>
      <c r="P64" s="48" t="s">
        <v>5</v>
      </c>
      <c r="Q64" s="48" t="s">
        <v>125</v>
      </c>
      <c r="R64" s="48" t="s">
        <v>121</v>
      </c>
    </row>
    <row r="65" spans="1:18" ht="33.950000000000003" customHeight="1" x14ac:dyDescent="0.25">
      <c r="A65" s="20">
        <v>65</v>
      </c>
      <c r="B65" s="56">
        <v>46233</v>
      </c>
      <c r="C65" s="48" t="s">
        <v>285</v>
      </c>
      <c r="D65" s="48" t="s">
        <v>227</v>
      </c>
      <c r="E65" s="48" t="s">
        <v>1</v>
      </c>
      <c r="F65" s="75">
        <v>30523477</v>
      </c>
      <c r="G65" s="86">
        <v>0</v>
      </c>
      <c r="H65" s="86">
        <v>0</v>
      </c>
      <c r="I65" s="21">
        <v>0.4</v>
      </c>
      <c r="J65" s="52" t="s">
        <v>13</v>
      </c>
      <c r="K65" s="98" t="s">
        <v>286</v>
      </c>
      <c r="L65" s="56">
        <v>46240</v>
      </c>
      <c r="M65" s="98" t="s">
        <v>287</v>
      </c>
      <c r="N65" s="108">
        <f ca="1">IF(B65="","",MAX(0,TODAY()-B65))</f>
        <v>6</v>
      </c>
      <c r="O65" s="75">
        <f>IF(OR(F65="",I65=""),"",F65*I65)</f>
        <v>12209390.800000001</v>
      </c>
      <c r="P65" s="48" t="s">
        <v>8</v>
      </c>
      <c r="Q65" s="48" t="s">
        <v>125</v>
      </c>
      <c r="R65" s="48" t="s">
        <v>121</v>
      </c>
    </row>
    <row r="66" spans="1:18" ht="33.950000000000003" customHeight="1" x14ac:dyDescent="0.25">
      <c r="A66" s="20">
        <v>66</v>
      </c>
      <c r="B66" s="56">
        <v>46233</v>
      </c>
      <c r="C66" s="48" t="s">
        <v>136</v>
      </c>
      <c r="D66" s="48" t="s">
        <v>288</v>
      </c>
      <c r="E66" s="48" t="s">
        <v>1</v>
      </c>
      <c r="F66" s="75">
        <v>397290</v>
      </c>
      <c r="G66" s="86">
        <v>0</v>
      </c>
      <c r="H66" s="86">
        <v>0</v>
      </c>
      <c r="I66" s="24">
        <v>0.6</v>
      </c>
      <c r="J66" s="52" t="s">
        <v>13</v>
      </c>
      <c r="K66" s="98" t="s">
        <v>289</v>
      </c>
      <c r="L66" s="56">
        <v>46240</v>
      </c>
      <c r="M66" s="98" t="s">
        <v>115</v>
      </c>
      <c r="N66" s="108">
        <f ca="1">IF(B66="","",MAX(0,TODAY()-B66))</f>
        <v>6</v>
      </c>
      <c r="O66" s="75">
        <f>IF(OR(F66="",I66=""),"",F66*I66)</f>
        <v>238374</v>
      </c>
      <c r="P66" s="48" t="s">
        <v>2</v>
      </c>
      <c r="Q66" s="48" t="s">
        <v>125</v>
      </c>
      <c r="R66" s="48" t="s">
        <v>121</v>
      </c>
    </row>
    <row r="67" spans="1:18" ht="33.950000000000003" customHeight="1" x14ac:dyDescent="0.25">
      <c r="A67" s="20">
        <v>67</v>
      </c>
      <c r="B67" s="56">
        <v>46199</v>
      </c>
      <c r="C67" s="48" t="s">
        <v>102</v>
      </c>
      <c r="D67" s="48" t="s">
        <v>290</v>
      </c>
      <c r="E67" s="48" t="s">
        <v>7</v>
      </c>
      <c r="F67" s="75">
        <v>10151700</v>
      </c>
      <c r="G67" s="86">
        <v>10151700</v>
      </c>
      <c r="H67" s="86">
        <v>0</v>
      </c>
      <c r="I67" s="24">
        <v>1</v>
      </c>
      <c r="J67" s="52" t="s">
        <v>13</v>
      </c>
      <c r="K67" s="98" t="s">
        <v>126</v>
      </c>
      <c r="L67" s="56">
        <v>46240</v>
      </c>
      <c r="M67" s="98" t="s">
        <v>138</v>
      </c>
      <c r="N67" s="108">
        <f ca="1">IF(B67="","",TODAY()-B67)</f>
        <v>40</v>
      </c>
      <c r="O67" s="75">
        <f>F67*I67</f>
        <v>10151700</v>
      </c>
      <c r="P67" s="48" t="s">
        <v>5</v>
      </c>
      <c r="Q67" s="48" t="str">
        <f>IF(OR(F67&gt;=50000000,I67&gt;=0.75),"Alta",IF(OR(F67&gt;=5000000,I67&gt;=0.5),"Média","Normal"))</f>
        <v>Alta</v>
      </c>
      <c r="R67" s="48" t="str">
        <f>IF(E67="Proposta aprovada","Fechado ganho",IF(E67="Perdida","Fechado perdido","Aberto"))</f>
        <v>Fechado ganho</v>
      </c>
    </row>
    <row r="68" spans="1:18" ht="33.950000000000003" customHeight="1" x14ac:dyDescent="0.25">
      <c r="A68" s="20">
        <v>68</v>
      </c>
      <c r="B68" s="56">
        <v>46204</v>
      </c>
      <c r="C68" s="48" t="s">
        <v>142</v>
      </c>
      <c r="D68" s="48" t="s">
        <v>101</v>
      </c>
      <c r="E68" s="48" t="s">
        <v>7</v>
      </c>
      <c r="F68" s="75">
        <v>10203000</v>
      </c>
      <c r="G68" s="86">
        <v>10203000</v>
      </c>
      <c r="H68" s="86">
        <v>0</v>
      </c>
      <c r="I68" s="21">
        <v>1</v>
      </c>
      <c r="J68" s="52" t="s">
        <v>6</v>
      </c>
      <c r="K68" s="98" t="s">
        <v>126</v>
      </c>
      <c r="L68" s="56">
        <v>46240</v>
      </c>
      <c r="M68" s="98" t="s">
        <v>138</v>
      </c>
      <c r="N68" s="108">
        <f ca="1">IF(B68="","",TODAY()-B68)</f>
        <v>35</v>
      </c>
      <c r="O68" s="75">
        <f>F68*I68</f>
        <v>10203000</v>
      </c>
      <c r="P68" s="48" t="s">
        <v>8</v>
      </c>
      <c r="Q68" s="48" t="str">
        <f>IF(OR(F68&gt;=50000000,I68&gt;=0.75),"Alta",IF(OR(F68&gt;=5000000,I68&gt;=0.5),"Média","Normal"))</f>
        <v>Alta</v>
      </c>
      <c r="R68" s="48" t="str">
        <f>IF(E68="Proposta aprovada","Fechado ganho",IF(E68="Perdida","Fechado perdido","Aberto"))</f>
        <v>Fechado ganho</v>
      </c>
    </row>
    <row r="69" spans="1:18" ht="33.950000000000003" customHeight="1" x14ac:dyDescent="0.25">
      <c r="A69" s="20">
        <v>69</v>
      </c>
      <c r="B69" s="56">
        <v>46205</v>
      </c>
      <c r="C69" s="48" t="s">
        <v>291</v>
      </c>
      <c r="D69" s="48" t="s">
        <v>296</v>
      </c>
      <c r="E69" s="48" t="s">
        <v>7</v>
      </c>
      <c r="F69" s="75">
        <v>526338</v>
      </c>
      <c r="G69" s="86">
        <v>526338</v>
      </c>
      <c r="H69" s="86">
        <v>0</v>
      </c>
      <c r="I69" s="21">
        <v>1</v>
      </c>
      <c r="J69" s="52" t="s">
        <v>6</v>
      </c>
      <c r="K69" s="98" t="s">
        <v>263</v>
      </c>
      <c r="L69" s="56">
        <v>46240</v>
      </c>
      <c r="M69" s="98" t="s">
        <v>297</v>
      </c>
      <c r="N69" s="108">
        <f ca="1">IF(B69="","",TODAY()-B69)</f>
        <v>34</v>
      </c>
      <c r="O69" s="75">
        <f>F69*I69</f>
        <v>526338</v>
      </c>
      <c r="P69" s="48" t="s">
        <v>5</v>
      </c>
      <c r="Q69" s="48" t="str">
        <f>IF(OR(F69&gt;=50000000,I69&gt;=0.75),"Alta",IF(OR(F69&gt;=5000000,I69&gt;=0.5),"Média","Normal"))</f>
        <v>Alta</v>
      </c>
      <c r="R69" s="48" t="str">
        <f>IF(E69="Proposta aprovada","Fechado ganho",IF(E69="Perdida","Fechado perdido","Aberto"))</f>
        <v>Fechado ganho</v>
      </c>
    </row>
    <row r="70" spans="1:18" ht="33.950000000000003" customHeight="1" x14ac:dyDescent="0.25">
      <c r="A70" s="20">
        <v>70</v>
      </c>
      <c r="B70" s="56">
        <v>46205</v>
      </c>
      <c r="C70" s="48" t="s">
        <v>292</v>
      </c>
      <c r="D70" s="48" t="s">
        <v>295</v>
      </c>
      <c r="E70" s="48" t="s">
        <v>1</v>
      </c>
      <c r="F70" s="75">
        <v>3192000</v>
      </c>
      <c r="G70" s="86">
        <v>0</v>
      </c>
      <c r="H70" s="86">
        <v>0</v>
      </c>
      <c r="I70" s="24">
        <v>0.5</v>
      </c>
      <c r="J70" s="52" t="s">
        <v>6</v>
      </c>
      <c r="K70" s="98" t="s">
        <v>293</v>
      </c>
      <c r="L70" s="56">
        <v>46240</v>
      </c>
      <c r="M70" s="98" t="s">
        <v>97</v>
      </c>
      <c r="N70" s="108">
        <v>14</v>
      </c>
      <c r="O70" s="75">
        <v>798000</v>
      </c>
      <c r="P70" s="48" t="s">
        <v>5</v>
      </c>
      <c r="Q70" s="48" t="s">
        <v>123</v>
      </c>
      <c r="R70" s="48" t="s">
        <v>121</v>
      </c>
    </row>
    <row r="71" spans="1:18" ht="33.950000000000003" customHeight="1" x14ac:dyDescent="0.25">
      <c r="A71" s="20">
        <v>71</v>
      </c>
      <c r="B71" s="56">
        <v>46205</v>
      </c>
      <c r="C71" s="48" t="s">
        <v>119</v>
      </c>
      <c r="D71" s="48" t="s">
        <v>294</v>
      </c>
      <c r="E71" s="48" t="s">
        <v>1</v>
      </c>
      <c r="F71" s="75">
        <v>4206170</v>
      </c>
      <c r="G71" s="86">
        <v>0</v>
      </c>
      <c r="H71" s="86">
        <v>4206170</v>
      </c>
      <c r="I71" s="24">
        <v>0</v>
      </c>
      <c r="J71" s="52" t="s">
        <v>6</v>
      </c>
      <c r="K71" s="98" t="s">
        <v>114</v>
      </c>
      <c r="L71" s="56">
        <v>46240</v>
      </c>
      <c r="M71" s="98" t="s">
        <v>298</v>
      </c>
      <c r="N71" s="108">
        <f ca="1">IF(B71="","",TODAY()-B71)</f>
        <v>34</v>
      </c>
      <c r="O71" s="75">
        <f>F71*I71</f>
        <v>0</v>
      </c>
      <c r="P71" s="48" t="s">
        <v>5</v>
      </c>
      <c r="Q71" s="48" t="str">
        <f>IF(OR(F71&gt;=50000000,I71&gt;=0.75),"Alta",IF(OR(F71&gt;=5000000,I71&gt;=0.5),"Média","Normal"))</f>
        <v>Normal</v>
      </c>
      <c r="R71" s="48" t="str">
        <f>IF(E71="Proposta aprovada","Fechado ganho",IF(E71="Perdida","Fechado perdido","Aberto"))</f>
        <v>Aberto</v>
      </c>
    </row>
    <row r="72" spans="1:18" ht="33.950000000000003" customHeight="1" x14ac:dyDescent="0.25">
      <c r="A72" s="20">
        <v>72</v>
      </c>
      <c r="B72" s="56">
        <v>46211</v>
      </c>
      <c r="C72" s="48" t="s">
        <v>299</v>
      </c>
      <c r="D72" s="48" t="s">
        <v>300</v>
      </c>
      <c r="E72" s="48" t="s">
        <v>7</v>
      </c>
      <c r="F72" s="75">
        <v>3024990</v>
      </c>
      <c r="G72" s="86">
        <v>3024990</v>
      </c>
      <c r="H72" s="86">
        <v>0</v>
      </c>
      <c r="I72" s="21">
        <v>1</v>
      </c>
      <c r="J72" s="52" t="s">
        <v>6</v>
      </c>
      <c r="K72" s="98" t="s">
        <v>126</v>
      </c>
      <c r="L72" s="56">
        <v>46240</v>
      </c>
      <c r="M72" s="98" t="s">
        <v>138</v>
      </c>
      <c r="N72" s="108">
        <f t="shared" ref="N72:N74" ca="1" si="0">IF(B72="","",TODAY()-B72)</f>
        <v>28</v>
      </c>
      <c r="O72" s="75">
        <f t="shared" ref="O72:O74" si="1">F72*I72</f>
        <v>3024990</v>
      </c>
      <c r="P72" s="48" t="s">
        <v>8</v>
      </c>
      <c r="Q72" s="48" t="str">
        <f t="shared" ref="Q72:Q74" si="2">IF(OR(F72&gt;=50000000,I72&gt;=0.75),"Alta",IF(OR(F72&gt;=5000000,I72&gt;=0.5),"Média","Normal"))</f>
        <v>Alta</v>
      </c>
      <c r="R72" s="48" t="str">
        <f t="shared" ref="R72:R74" si="3">IF(E72="Proposta aprovada","Fechado ganho",IF(E72="Perdida","Fechado perdido","Aberto"))</f>
        <v>Fechado ganho</v>
      </c>
    </row>
    <row r="73" spans="1:18" ht="33.950000000000003" customHeight="1" x14ac:dyDescent="0.25">
      <c r="A73" s="20">
        <v>73</v>
      </c>
      <c r="B73" s="56">
        <v>46213</v>
      </c>
      <c r="C73" s="48" t="s">
        <v>301</v>
      </c>
      <c r="D73" s="48" t="s">
        <v>302</v>
      </c>
      <c r="E73" s="48" t="s">
        <v>1</v>
      </c>
      <c r="F73" s="75">
        <v>687420</v>
      </c>
      <c r="G73" s="86"/>
      <c r="H73" s="86"/>
      <c r="I73" s="24">
        <v>0.4</v>
      </c>
      <c r="J73" s="52" t="s">
        <v>6</v>
      </c>
      <c r="K73" s="98" t="s">
        <v>303</v>
      </c>
      <c r="L73" s="56">
        <v>46240</v>
      </c>
      <c r="M73" s="98" t="s">
        <v>97</v>
      </c>
      <c r="N73" s="108">
        <f t="shared" ca="1" si="0"/>
        <v>26</v>
      </c>
      <c r="O73" s="75">
        <f t="shared" si="1"/>
        <v>274968</v>
      </c>
      <c r="P73" s="48" t="s">
        <v>8</v>
      </c>
      <c r="Q73" s="48" t="str">
        <f t="shared" si="2"/>
        <v>Normal</v>
      </c>
      <c r="R73" s="48" t="str">
        <f t="shared" si="3"/>
        <v>Aberto</v>
      </c>
    </row>
    <row r="74" spans="1:18" ht="33.950000000000003" customHeight="1" x14ac:dyDescent="0.25">
      <c r="A74" s="20">
        <v>74</v>
      </c>
      <c r="B74" s="56">
        <v>46213</v>
      </c>
      <c r="C74" s="48" t="s">
        <v>96</v>
      </c>
      <c r="D74" s="48" t="s">
        <v>300</v>
      </c>
      <c r="E74" s="48" t="s">
        <v>1</v>
      </c>
      <c r="F74" s="75">
        <v>221160</v>
      </c>
      <c r="G74" s="86"/>
      <c r="H74" s="86">
        <v>0</v>
      </c>
      <c r="I74" s="24">
        <v>0.4</v>
      </c>
      <c r="J74" s="52" t="s">
        <v>6</v>
      </c>
      <c r="K74" s="98" t="s">
        <v>108</v>
      </c>
      <c r="L74" s="56">
        <v>46240</v>
      </c>
      <c r="M74" s="98" t="s">
        <v>97</v>
      </c>
      <c r="N74" s="108">
        <f t="shared" ca="1" si="0"/>
        <v>26</v>
      </c>
      <c r="O74" s="75">
        <f t="shared" si="1"/>
        <v>88464</v>
      </c>
      <c r="P74" s="48" t="s">
        <v>8</v>
      </c>
      <c r="Q74" s="48" t="str">
        <f t="shared" si="2"/>
        <v>Normal</v>
      </c>
      <c r="R74" s="48" t="str">
        <f t="shared" si="3"/>
        <v>Aberto</v>
      </c>
    </row>
    <row r="75" spans="1:18" ht="33.950000000000003" customHeight="1" x14ac:dyDescent="0.25">
      <c r="A75" s="20">
        <v>75</v>
      </c>
      <c r="B75" s="56">
        <v>46220</v>
      </c>
      <c r="C75" s="48" t="s">
        <v>304</v>
      </c>
      <c r="D75" s="48" t="s">
        <v>305</v>
      </c>
      <c r="E75" s="48" t="s">
        <v>4</v>
      </c>
      <c r="F75" s="75">
        <v>1962624</v>
      </c>
      <c r="G75" s="86">
        <v>0</v>
      </c>
      <c r="H75" s="86">
        <v>0</v>
      </c>
      <c r="I75" s="21">
        <v>0.5</v>
      </c>
      <c r="J75" s="52" t="s">
        <v>6</v>
      </c>
      <c r="K75" s="98" t="s">
        <v>306</v>
      </c>
      <c r="L75" s="56">
        <v>46209</v>
      </c>
      <c r="M75" s="98" t="s">
        <v>307</v>
      </c>
      <c r="N75" s="108">
        <f t="shared" ref="N75:N79" ca="1" si="4">IF(B75="","",MAX(0,TODAY()-B75))</f>
        <v>19</v>
      </c>
      <c r="O75" s="75">
        <f t="shared" ref="O75:O77" si="5">IF(OR(F75="",I75=""),"",F75*I75)</f>
        <v>981312</v>
      </c>
      <c r="P75" s="48" t="s">
        <v>5</v>
      </c>
      <c r="Q75" s="48" t="s">
        <v>123</v>
      </c>
      <c r="R75" s="48" t="s">
        <v>121</v>
      </c>
    </row>
    <row r="76" spans="1:18" ht="33.950000000000003" customHeight="1" x14ac:dyDescent="0.25">
      <c r="A76" s="20">
        <v>76</v>
      </c>
      <c r="B76" s="56">
        <v>46219</v>
      </c>
      <c r="C76" s="48" t="s">
        <v>304</v>
      </c>
      <c r="D76" s="48" t="s">
        <v>308</v>
      </c>
      <c r="E76" s="48" t="s">
        <v>1</v>
      </c>
      <c r="F76" s="75">
        <v>1590300</v>
      </c>
      <c r="G76" s="86">
        <v>0</v>
      </c>
      <c r="H76" s="86">
        <v>0</v>
      </c>
      <c r="I76" s="21">
        <v>0.5</v>
      </c>
      <c r="J76" s="52" t="s">
        <v>6</v>
      </c>
      <c r="K76" s="98" t="s">
        <v>95</v>
      </c>
      <c r="L76" s="56">
        <v>46240</v>
      </c>
      <c r="M76" s="98" t="s">
        <v>205</v>
      </c>
      <c r="N76" s="108">
        <f t="shared" ca="1" si="4"/>
        <v>20</v>
      </c>
      <c r="O76" s="75">
        <f t="shared" si="5"/>
        <v>795150</v>
      </c>
      <c r="P76" s="48" t="s">
        <v>5</v>
      </c>
      <c r="Q76" s="48" t="s">
        <v>123</v>
      </c>
      <c r="R76" s="48" t="s">
        <v>121</v>
      </c>
    </row>
    <row r="77" spans="1:18" ht="42" customHeight="1" x14ac:dyDescent="0.25">
      <c r="A77" s="20">
        <v>77</v>
      </c>
      <c r="B77" s="56">
        <v>46218</v>
      </c>
      <c r="C77" s="48" t="s">
        <v>304</v>
      </c>
      <c r="D77" s="48" t="s">
        <v>227</v>
      </c>
      <c r="E77" s="48" t="s">
        <v>1</v>
      </c>
      <c r="F77" s="75">
        <v>1133502</v>
      </c>
      <c r="G77" s="86">
        <v>0</v>
      </c>
      <c r="H77" s="86">
        <v>0</v>
      </c>
      <c r="I77" s="21">
        <v>0.5</v>
      </c>
      <c r="J77" s="52" t="s">
        <v>6</v>
      </c>
      <c r="K77" s="98" t="s">
        <v>242</v>
      </c>
      <c r="L77" s="56">
        <v>46240</v>
      </c>
      <c r="M77" s="98" t="s">
        <v>309</v>
      </c>
      <c r="N77" s="108">
        <f t="shared" ca="1" si="4"/>
        <v>21</v>
      </c>
      <c r="O77" s="75">
        <f t="shared" si="5"/>
        <v>566751</v>
      </c>
      <c r="P77" s="48" t="s">
        <v>5</v>
      </c>
      <c r="Q77" s="48" t="s">
        <v>123</v>
      </c>
      <c r="R77" s="48" t="s">
        <v>121</v>
      </c>
    </row>
    <row r="78" spans="1:18" ht="33.950000000000003" customHeight="1" x14ac:dyDescent="0.25">
      <c r="A78" s="20">
        <v>78</v>
      </c>
      <c r="B78" s="56">
        <v>46217</v>
      </c>
      <c r="C78" s="48" t="s">
        <v>112</v>
      </c>
      <c r="D78" s="48" t="s">
        <v>310</v>
      </c>
      <c r="E78" s="48" t="s">
        <v>4</v>
      </c>
      <c r="F78" s="75">
        <v>405840</v>
      </c>
      <c r="G78" s="86">
        <v>0</v>
      </c>
      <c r="H78" s="86">
        <v>0</v>
      </c>
      <c r="I78" s="21">
        <v>0.5</v>
      </c>
      <c r="J78" s="52" t="s">
        <v>6</v>
      </c>
      <c r="K78" s="98" t="s">
        <v>303</v>
      </c>
      <c r="L78" s="56">
        <v>46240</v>
      </c>
      <c r="M78" s="98" t="s">
        <v>311</v>
      </c>
      <c r="N78" s="108">
        <f t="shared" ca="1" si="4"/>
        <v>22</v>
      </c>
      <c r="O78" s="75">
        <f>IF(OR(F78="",I78=""),"",F78*I78)</f>
        <v>202920</v>
      </c>
      <c r="P78" s="48" t="s">
        <v>5</v>
      </c>
      <c r="Q78" s="48" t="s">
        <v>125</v>
      </c>
      <c r="R78" s="48" t="s">
        <v>121</v>
      </c>
    </row>
    <row r="79" spans="1:18" ht="33.950000000000003" customHeight="1" x14ac:dyDescent="0.25">
      <c r="A79" s="20">
        <v>79</v>
      </c>
      <c r="B79" s="56">
        <v>46225</v>
      </c>
      <c r="C79" s="48" t="s">
        <v>122</v>
      </c>
      <c r="D79" s="48" t="s">
        <v>132</v>
      </c>
      <c r="E79" s="48" t="s">
        <v>1</v>
      </c>
      <c r="F79" s="75">
        <v>4858000</v>
      </c>
      <c r="G79" s="86">
        <v>0</v>
      </c>
      <c r="H79" s="86">
        <v>0</v>
      </c>
      <c r="I79" s="24">
        <v>0.4</v>
      </c>
      <c r="J79" s="52" t="s">
        <v>6</v>
      </c>
      <c r="K79" s="98" t="s">
        <v>236</v>
      </c>
      <c r="L79" s="56">
        <v>46240</v>
      </c>
      <c r="M79" s="98" t="s">
        <v>97</v>
      </c>
      <c r="N79" s="108">
        <f t="shared" ca="1" si="4"/>
        <v>14</v>
      </c>
      <c r="O79" s="75">
        <f t="shared" ref="O79:O80" si="6">IF(OR(F79="",I79=""),"",F79*I79)</f>
        <v>1943200</v>
      </c>
      <c r="P79" s="48" t="s">
        <v>5</v>
      </c>
      <c r="Q79" s="48" t="s">
        <v>120</v>
      </c>
      <c r="R79" s="48" t="s">
        <v>121</v>
      </c>
    </row>
    <row r="80" spans="1:18" ht="33.950000000000003" customHeight="1" x14ac:dyDescent="0.25">
      <c r="A80" s="20">
        <v>80</v>
      </c>
      <c r="B80" s="56">
        <v>46223</v>
      </c>
      <c r="C80" s="48" t="s">
        <v>112</v>
      </c>
      <c r="D80" s="48" t="s">
        <v>312</v>
      </c>
      <c r="E80" s="48" t="s">
        <v>1</v>
      </c>
      <c r="F80" s="75">
        <v>28706340</v>
      </c>
      <c r="G80" s="86"/>
      <c r="H80" s="86">
        <v>0</v>
      </c>
      <c r="I80" s="21">
        <v>0.3</v>
      </c>
      <c r="J80" s="52" t="s">
        <v>6</v>
      </c>
      <c r="K80" s="98" t="s">
        <v>236</v>
      </c>
      <c r="L80" s="56">
        <v>46240</v>
      </c>
      <c r="M80" s="98" t="s">
        <v>97</v>
      </c>
      <c r="N80" s="108">
        <f t="shared" ref="N80" ca="1" si="7">IF(B80="","",MAX(0,TODAY()-B80))</f>
        <v>16</v>
      </c>
      <c r="O80" s="75">
        <f t="shared" si="6"/>
        <v>8611902</v>
      </c>
      <c r="P80" s="48" t="s">
        <v>5</v>
      </c>
      <c r="Q80" s="48" t="s">
        <v>123</v>
      </c>
      <c r="R80" s="48" t="s">
        <v>121</v>
      </c>
    </row>
    <row r="81" spans="1:18" ht="33.950000000000003" customHeight="1" x14ac:dyDescent="0.25">
      <c r="A81" s="20">
        <v>81</v>
      </c>
      <c r="B81" s="56">
        <v>46234</v>
      </c>
      <c r="C81" s="48" t="s">
        <v>313</v>
      </c>
      <c r="D81" s="48" t="s">
        <v>314</v>
      </c>
      <c r="E81" s="48" t="s">
        <v>1</v>
      </c>
      <c r="F81" s="75">
        <v>1532160</v>
      </c>
      <c r="G81" s="86">
        <v>0</v>
      </c>
      <c r="H81" s="86">
        <v>0</v>
      </c>
      <c r="I81" s="24">
        <v>0.4</v>
      </c>
      <c r="J81" s="52" t="s">
        <v>6</v>
      </c>
      <c r="K81" s="98" t="s">
        <v>315</v>
      </c>
      <c r="L81" s="56">
        <v>46240</v>
      </c>
      <c r="M81" s="98" t="s">
        <v>316</v>
      </c>
      <c r="N81" s="108">
        <f t="shared" ref="N81" ca="1" si="8">IF(B81="","",MAX(0,TODAY()-B81))</f>
        <v>5</v>
      </c>
      <c r="O81" s="75">
        <f t="shared" ref="O81" si="9">IF(OR(F81="",I81=""),"",F81*I81)</f>
        <v>612864</v>
      </c>
      <c r="P81" s="48" t="s">
        <v>8</v>
      </c>
      <c r="Q81" s="48" t="s">
        <v>123</v>
      </c>
      <c r="R81" s="48" t="s">
        <v>121</v>
      </c>
    </row>
    <row r="82" spans="1:18" ht="33.950000000000003" customHeight="1" x14ac:dyDescent="0.25">
      <c r="A82" s="20">
        <v>82</v>
      </c>
      <c r="B82" s="56">
        <v>46206</v>
      </c>
      <c r="C82" s="48" t="s">
        <v>139</v>
      </c>
      <c r="D82" s="48" t="s">
        <v>319</v>
      </c>
      <c r="E82" s="48" t="s">
        <v>1</v>
      </c>
      <c r="F82" s="75">
        <v>2567596.12</v>
      </c>
      <c r="G82" s="86">
        <v>0</v>
      </c>
      <c r="H82" s="86">
        <v>0</v>
      </c>
      <c r="I82" s="21">
        <v>0.3</v>
      </c>
      <c r="J82" s="52" t="s">
        <v>103</v>
      </c>
      <c r="K82" s="98" t="s">
        <v>317</v>
      </c>
      <c r="L82" s="56">
        <v>46240</v>
      </c>
      <c r="M82" s="98" t="s">
        <v>97</v>
      </c>
      <c r="N82" s="108">
        <f ca="1">IF(B82="","",TODAY()-B82)</f>
        <v>33</v>
      </c>
      <c r="O82" s="75">
        <f>F82*I82</f>
        <v>770278.83600000001</v>
      </c>
      <c r="P82" s="48" t="s">
        <v>5</v>
      </c>
      <c r="Q82" s="48" t="str">
        <f>IF(OR(F82&gt;=50000000,I82&gt;=0.75),"Alta",IF(OR(F82&gt;=5000000,I82&gt;=0.5),"Média","Normal"))</f>
        <v>Normal</v>
      </c>
      <c r="R82" s="48" t="str">
        <f>IF(E82="Proposta aprovada","Fechado ganho",IF(E82="Perdida","Fechado perdido","Aberto"))</f>
        <v>Aberto</v>
      </c>
    </row>
    <row r="83" spans="1:18" ht="33.950000000000003" customHeight="1" x14ac:dyDescent="0.25">
      <c r="A83" s="20">
        <v>83</v>
      </c>
      <c r="B83" s="56">
        <v>46199</v>
      </c>
      <c r="C83" s="48" t="s">
        <v>99</v>
      </c>
      <c r="D83" s="48" t="s">
        <v>318</v>
      </c>
      <c r="E83" s="48" t="s">
        <v>7</v>
      </c>
      <c r="F83" s="75">
        <v>855000</v>
      </c>
      <c r="G83" s="86">
        <v>855000</v>
      </c>
      <c r="H83" s="86">
        <v>0</v>
      </c>
      <c r="I83" s="21">
        <v>1</v>
      </c>
      <c r="J83" s="52" t="s">
        <v>103</v>
      </c>
      <c r="K83" s="98" t="s">
        <v>111</v>
      </c>
      <c r="L83" s="56">
        <v>46240</v>
      </c>
      <c r="M83" s="98" t="s">
        <v>320</v>
      </c>
      <c r="N83" s="108">
        <f ca="1">IF(B83="","",TODAY()-B83)</f>
        <v>40</v>
      </c>
      <c r="O83" s="75">
        <f>F83*I83</f>
        <v>855000</v>
      </c>
      <c r="P83" s="48" t="s">
        <v>5</v>
      </c>
      <c r="Q83" s="48" t="str">
        <f>IF(OR(F83&gt;=50000000,I83&gt;=0.75),"Alta",IF(OR(F83&gt;=5000000,I83&gt;=0.5),"Média","Normal"))</f>
        <v>Alta</v>
      </c>
      <c r="R83" s="48" t="str">
        <f>IF(E83="Proposta aprovada","Fechado ganho",IF(E83="Perdida","Fechado perdido","Aberto"))</f>
        <v>Fechado ganho</v>
      </c>
    </row>
    <row r="84" spans="1:18" ht="33.950000000000003" customHeight="1" x14ac:dyDescent="0.25">
      <c r="A84" s="20">
        <v>84</v>
      </c>
      <c r="B84" s="56">
        <v>46210</v>
      </c>
      <c r="C84" s="48" t="s">
        <v>139</v>
      </c>
      <c r="D84" s="48" t="s">
        <v>296</v>
      </c>
      <c r="E84" s="48" t="s">
        <v>1</v>
      </c>
      <c r="F84" s="75">
        <v>28581282</v>
      </c>
      <c r="G84" s="86">
        <v>0</v>
      </c>
      <c r="H84" s="86">
        <v>0</v>
      </c>
      <c r="I84" s="21">
        <v>0.5</v>
      </c>
      <c r="J84" s="52" t="s">
        <v>103</v>
      </c>
      <c r="K84" s="98" t="s">
        <v>321</v>
      </c>
      <c r="L84" s="56">
        <v>46240</v>
      </c>
      <c r="M84" s="98" t="s">
        <v>97</v>
      </c>
      <c r="N84" s="108">
        <f t="shared" ref="N84:N86" ca="1" si="10">IF(B84="","",TODAY()-B84)</f>
        <v>29</v>
      </c>
      <c r="O84" s="75">
        <f t="shared" ref="O84:O86" si="11">F84*I84</f>
        <v>14290641</v>
      </c>
      <c r="P84" s="48" t="s">
        <v>5</v>
      </c>
      <c r="Q84" s="48" t="str">
        <f t="shared" ref="Q84:Q86" si="12">IF(OR(F84&gt;=50000000,I84&gt;=0.75),"Alta",IF(OR(F84&gt;=5000000,I84&gt;=0.5),"Média","Normal"))</f>
        <v>Média</v>
      </c>
      <c r="R84" s="48" t="str">
        <f t="shared" ref="R84:R86" si="13">IF(E84="Proposta aprovada","Fechado ganho",IF(E84="Perdida","Fechado perdido","Aberto"))</f>
        <v>Aberto</v>
      </c>
    </row>
    <row r="85" spans="1:18" ht="33.950000000000003" customHeight="1" x14ac:dyDescent="0.25">
      <c r="A85" s="20">
        <v>85</v>
      </c>
      <c r="B85" s="56">
        <v>46211</v>
      </c>
      <c r="C85" s="48" t="s">
        <v>322</v>
      </c>
      <c r="D85" s="48" t="s">
        <v>323</v>
      </c>
      <c r="E85" s="48" t="s">
        <v>1</v>
      </c>
      <c r="F85" s="75">
        <v>953610</v>
      </c>
      <c r="G85" s="86">
        <v>0</v>
      </c>
      <c r="H85" s="86">
        <v>0</v>
      </c>
      <c r="I85" s="21">
        <v>0.4</v>
      </c>
      <c r="J85" s="52" t="s">
        <v>103</v>
      </c>
      <c r="K85" s="98" t="s">
        <v>108</v>
      </c>
      <c r="L85" s="56">
        <v>46240</v>
      </c>
      <c r="M85" s="98" t="s">
        <v>324</v>
      </c>
      <c r="N85" s="108">
        <f t="shared" ca="1" si="10"/>
        <v>28</v>
      </c>
      <c r="O85" s="75">
        <f t="shared" si="11"/>
        <v>381444</v>
      </c>
      <c r="P85" s="48" t="s">
        <v>8</v>
      </c>
      <c r="Q85" s="48" t="str">
        <f t="shared" si="12"/>
        <v>Normal</v>
      </c>
      <c r="R85" s="48" t="str">
        <f t="shared" si="13"/>
        <v>Aberto</v>
      </c>
    </row>
    <row r="86" spans="1:18" ht="33.950000000000003" customHeight="1" x14ac:dyDescent="0.25">
      <c r="A86" s="20">
        <v>86</v>
      </c>
      <c r="B86" s="56">
        <v>46213</v>
      </c>
      <c r="C86" s="48" t="s">
        <v>325</v>
      </c>
      <c r="D86" s="48" t="s">
        <v>326</v>
      </c>
      <c r="E86" s="48" t="s">
        <v>1</v>
      </c>
      <c r="F86" s="75">
        <v>1997394</v>
      </c>
      <c r="G86" s="86"/>
      <c r="H86" s="86">
        <v>0</v>
      </c>
      <c r="I86" s="21">
        <v>0.4</v>
      </c>
      <c r="J86" s="52" t="s">
        <v>103</v>
      </c>
      <c r="K86" s="98" t="s">
        <v>327</v>
      </c>
      <c r="L86" s="56">
        <v>46240</v>
      </c>
      <c r="M86" s="98" t="s">
        <v>324</v>
      </c>
      <c r="N86" s="108">
        <f t="shared" ca="1" si="10"/>
        <v>26</v>
      </c>
      <c r="O86" s="75">
        <f t="shared" si="11"/>
        <v>798957.60000000009</v>
      </c>
      <c r="P86" s="48" t="s">
        <v>8</v>
      </c>
      <c r="Q86" s="48" t="str">
        <f t="shared" si="12"/>
        <v>Normal</v>
      </c>
      <c r="R86" s="48" t="str">
        <f t="shared" si="13"/>
        <v>Aberto</v>
      </c>
    </row>
    <row r="87" spans="1:18" ht="33.950000000000003" customHeight="1" x14ac:dyDescent="0.25">
      <c r="A87" s="20">
        <v>87</v>
      </c>
      <c r="B87" s="56">
        <v>46216</v>
      </c>
      <c r="C87" s="48" t="s">
        <v>274</v>
      </c>
      <c r="D87" s="48" t="s">
        <v>150</v>
      </c>
      <c r="E87" s="48" t="s">
        <v>10</v>
      </c>
      <c r="F87" s="75">
        <v>881448</v>
      </c>
      <c r="G87" s="86">
        <v>0</v>
      </c>
      <c r="H87" s="86">
        <v>881448</v>
      </c>
      <c r="I87" s="21">
        <v>0</v>
      </c>
      <c r="J87" s="52" t="s">
        <v>103</v>
      </c>
      <c r="K87" s="98" t="s">
        <v>257</v>
      </c>
      <c r="L87" s="56">
        <v>46240</v>
      </c>
      <c r="M87" s="98" t="s">
        <v>332</v>
      </c>
      <c r="N87" s="108">
        <f t="shared" ref="N87:N89" ca="1" si="14">IF(B87="","",MAX(0,TODAY()-B87))</f>
        <v>23</v>
      </c>
      <c r="O87" s="75">
        <f t="shared" ref="O87:O89" si="15">IF(OR(F87="",I87=""),"",F87*I87)</f>
        <v>0</v>
      </c>
      <c r="P87" s="48" t="s">
        <v>8</v>
      </c>
      <c r="Q87" s="48" t="s">
        <v>125</v>
      </c>
      <c r="R87" s="48" t="s">
        <v>121</v>
      </c>
    </row>
    <row r="88" spans="1:18" ht="33.950000000000003" customHeight="1" x14ac:dyDescent="0.25">
      <c r="A88" s="20">
        <v>88</v>
      </c>
      <c r="B88" s="56">
        <v>46217</v>
      </c>
      <c r="C88" s="48" t="s">
        <v>139</v>
      </c>
      <c r="D88" s="48" t="s">
        <v>328</v>
      </c>
      <c r="E88" s="48" t="s">
        <v>1</v>
      </c>
      <c r="F88" s="75">
        <v>1539000</v>
      </c>
      <c r="G88" s="86">
        <v>0</v>
      </c>
      <c r="H88" s="86">
        <v>0</v>
      </c>
      <c r="I88" s="21">
        <v>0.4</v>
      </c>
      <c r="J88" s="52" t="s">
        <v>103</v>
      </c>
      <c r="K88" s="98" t="s">
        <v>95</v>
      </c>
      <c r="L88" s="56">
        <v>46240</v>
      </c>
      <c r="M88" s="98" t="s">
        <v>205</v>
      </c>
      <c r="N88" s="108">
        <f t="shared" ca="1" si="14"/>
        <v>22</v>
      </c>
      <c r="O88" s="75">
        <f t="shared" si="15"/>
        <v>615600</v>
      </c>
      <c r="P88" s="48" t="s">
        <v>5</v>
      </c>
      <c r="Q88" s="48" t="s">
        <v>120</v>
      </c>
      <c r="R88" s="48" t="s">
        <v>121</v>
      </c>
    </row>
    <row r="89" spans="1:18" ht="33.950000000000003" customHeight="1" x14ac:dyDescent="0.25">
      <c r="A89" s="20">
        <v>89</v>
      </c>
      <c r="B89" s="56">
        <v>46217</v>
      </c>
      <c r="C89" s="48" t="s">
        <v>329</v>
      </c>
      <c r="D89" s="48" t="s">
        <v>330</v>
      </c>
      <c r="E89" s="48" t="s">
        <v>1</v>
      </c>
      <c r="F89" s="75">
        <v>2374050</v>
      </c>
      <c r="G89" s="86">
        <v>0</v>
      </c>
      <c r="H89" s="86">
        <v>0</v>
      </c>
      <c r="I89" s="21">
        <v>0.4</v>
      </c>
      <c r="J89" s="52" t="s">
        <v>103</v>
      </c>
      <c r="K89" s="98" t="s">
        <v>331</v>
      </c>
      <c r="L89" s="56">
        <v>46240</v>
      </c>
      <c r="M89" s="98" t="s">
        <v>250</v>
      </c>
      <c r="N89" s="108">
        <f t="shared" ca="1" si="14"/>
        <v>22</v>
      </c>
      <c r="O89" s="75">
        <f t="shared" si="15"/>
        <v>949620</v>
      </c>
      <c r="P89" s="48" t="s">
        <v>8</v>
      </c>
      <c r="Q89" s="48" t="s">
        <v>125</v>
      </c>
      <c r="R89" s="48" t="s">
        <v>121</v>
      </c>
    </row>
    <row r="90" spans="1:18" ht="41.45" customHeight="1" x14ac:dyDescent="0.25">
      <c r="A90" s="20">
        <v>90</v>
      </c>
      <c r="B90" s="56">
        <v>46206</v>
      </c>
      <c r="C90" s="48" t="s">
        <v>100</v>
      </c>
      <c r="D90" s="48" t="s">
        <v>333</v>
      </c>
      <c r="E90" s="48" t="s">
        <v>7</v>
      </c>
      <c r="F90" s="75">
        <v>2539350</v>
      </c>
      <c r="G90" s="86">
        <v>2539350</v>
      </c>
      <c r="H90" s="86">
        <v>0</v>
      </c>
      <c r="I90" s="21">
        <v>1</v>
      </c>
      <c r="J90" s="52" t="s">
        <v>334</v>
      </c>
      <c r="K90" s="98" t="s">
        <v>126</v>
      </c>
      <c r="L90" s="56">
        <v>46240</v>
      </c>
      <c r="M90" s="98" t="s">
        <v>149</v>
      </c>
      <c r="N90" s="108">
        <f ca="1">IF(B90="","",TODAY()-B90)</f>
        <v>33</v>
      </c>
      <c r="O90" s="75">
        <f>F90*I90</f>
        <v>2539350</v>
      </c>
      <c r="P90" s="48" t="s">
        <v>5</v>
      </c>
      <c r="Q90" s="48" t="str">
        <f>IF(OR(F90&gt;=50000000,I90&gt;=0.75),"Alta",IF(OR(F90&gt;=5000000,I90&gt;=0.5),"Média","Normal"))</f>
        <v>Alta</v>
      </c>
      <c r="R90" s="48" t="str">
        <f>IF(E90="Proposta aprovada","Fechado ganho",IF(E90="Perdida","Fechado perdido","Aberto"))</f>
        <v>Fechado ganho</v>
      </c>
    </row>
    <row r="91" spans="1:18" ht="33.950000000000003" customHeight="1" x14ac:dyDescent="0.25">
      <c r="A91" s="20">
        <v>91</v>
      </c>
      <c r="B91" s="56">
        <v>46210</v>
      </c>
      <c r="C91" s="48" t="s">
        <v>335</v>
      </c>
      <c r="D91" s="48" t="s">
        <v>339</v>
      </c>
      <c r="E91" s="48" t="s">
        <v>7</v>
      </c>
      <c r="F91" s="75">
        <v>2109000</v>
      </c>
      <c r="G91" s="86">
        <v>2109000</v>
      </c>
      <c r="H91" s="86">
        <v>0</v>
      </c>
      <c r="I91" s="21">
        <v>1</v>
      </c>
      <c r="J91" s="52" t="s">
        <v>334</v>
      </c>
      <c r="K91" s="98" t="s">
        <v>257</v>
      </c>
      <c r="L91" s="56">
        <v>46240</v>
      </c>
      <c r="M91" s="98" t="s">
        <v>219</v>
      </c>
      <c r="N91" s="108">
        <f t="shared" ref="N91:N92" ca="1" si="16">IF(B91="","",TODAY()-B91)</f>
        <v>29</v>
      </c>
      <c r="O91" s="75">
        <f t="shared" ref="O91:O92" si="17">F91*I91</f>
        <v>2109000</v>
      </c>
      <c r="P91" s="48" t="s">
        <v>8</v>
      </c>
      <c r="Q91" s="48" t="str">
        <f t="shared" ref="Q91:Q92" si="18">IF(OR(F91&gt;=50000000,I91&gt;=0.75),"Alta",IF(OR(F91&gt;=5000000,I91&gt;=0.5),"Média","Normal"))</f>
        <v>Alta</v>
      </c>
      <c r="R91" s="48" t="str">
        <f t="shared" ref="R91:R92" si="19">IF(E91="Proposta aprovada","Fechado ganho",IF(E91="Perdida","Fechado perdido","Aberto"))</f>
        <v>Fechado ganho</v>
      </c>
    </row>
    <row r="92" spans="1:18" ht="33.950000000000003" customHeight="1" x14ac:dyDescent="0.25">
      <c r="A92" s="20">
        <v>92</v>
      </c>
      <c r="B92" s="56">
        <v>46209</v>
      </c>
      <c r="C92" s="48" t="s">
        <v>336</v>
      </c>
      <c r="D92" s="48" t="s">
        <v>337</v>
      </c>
      <c r="E92" s="48" t="s">
        <v>1</v>
      </c>
      <c r="F92" s="75">
        <v>21909090</v>
      </c>
      <c r="G92" s="86"/>
      <c r="H92" s="86">
        <v>0</v>
      </c>
      <c r="I92" s="21">
        <v>0.2</v>
      </c>
      <c r="J92" s="52" t="s">
        <v>334</v>
      </c>
      <c r="K92" s="98" t="s">
        <v>108</v>
      </c>
      <c r="L92" s="56">
        <v>46240</v>
      </c>
      <c r="M92" s="98" t="s">
        <v>338</v>
      </c>
      <c r="N92" s="108">
        <f t="shared" ca="1" si="16"/>
        <v>30</v>
      </c>
      <c r="O92" s="75">
        <f t="shared" si="17"/>
        <v>4381818</v>
      </c>
      <c r="P92" s="48" t="s">
        <v>8</v>
      </c>
      <c r="Q92" s="48" t="str">
        <f t="shared" si="18"/>
        <v>Média</v>
      </c>
      <c r="R92" s="48" t="str">
        <f t="shared" si="19"/>
        <v>Aberto</v>
      </c>
    </row>
    <row r="93" spans="1:18" ht="33.950000000000003" customHeight="1" x14ac:dyDescent="0.25">
      <c r="A93" s="20">
        <v>93</v>
      </c>
      <c r="B93" s="56">
        <v>46220</v>
      </c>
      <c r="C93" s="48" t="s">
        <v>113</v>
      </c>
      <c r="D93" s="48" t="s">
        <v>340</v>
      </c>
      <c r="E93" s="48" t="s">
        <v>7</v>
      </c>
      <c r="F93" s="75">
        <v>49590</v>
      </c>
      <c r="G93" s="86">
        <v>49590</v>
      </c>
      <c r="H93" s="86">
        <v>0</v>
      </c>
      <c r="I93" s="21">
        <v>1</v>
      </c>
      <c r="J93" s="52" t="s">
        <v>334</v>
      </c>
      <c r="K93" s="98" t="s">
        <v>239</v>
      </c>
      <c r="L93" s="56">
        <v>46240</v>
      </c>
      <c r="M93" s="98" t="s">
        <v>98</v>
      </c>
      <c r="N93" s="108">
        <f t="shared" ref="N93:N110" ca="1" si="20">IF(B93="","",MAX(0,TODAY()-B93))</f>
        <v>19</v>
      </c>
      <c r="O93" s="75">
        <f t="shared" ref="O93:O101" si="21">IF(OR(F93="",I93=""),"",F93*I93)</f>
        <v>49590</v>
      </c>
      <c r="P93" s="48" t="s">
        <v>8</v>
      </c>
      <c r="Q93" s="48" t="s">
        <v>120</v>
      </c>
      <c r="R93" s="48" t="s">
        <v>124</v>
      </c>
    </row>
    <row r="94" spans="1:18" ht="33.950000000000003" customHeight="1" x14ac:dyDescent="0.25">
      <c r="A94" s="20">
        <v>94</v>
      </c>
      <c r="B94" s="56">
        <v>46217</v>
      </c>
      <c r="C94" s="48" t="s">
        <v>341</v>
      </c>
      <c r="D94" s="48" t="s">
        <v>342</v>
      </c>
      <c r="E94" s="48" t="s">
        <v>10</v>
      </c>
      <c r="F94" s="75">
        <v>3243300</v>
      </c>
      <c r="G94" s="86">
        <v>0</v>
      </c>
      <c r="H94" s="86">
        <v>3243300</v>
      </c>
      <c r="I94" s="24">
        <v>0</v>
      </c>
      <c r="J94" s="52" t="s">
        <v>334</v>
      </c>
      <c r="K94" s="98" t="s">
        <v>114</v>
      </c>
      <c r="L94" s="56">
        <v>46240</v>
      </c>
      <c r="M94" s="98" t="s">
        <v>343</v>
      </c>
      <c r="N94" s="108">
        <f t="shared" ca="1" si="20"/>
        <v>22</v>
      </c>
      <c r="O94" s="75">
        <f t="shared" si="21"/>
        <v>0</v>
      </c>
      <c r="P94" s="48" t="s">
        <v>8</v>
      </c>
      <c r="Q94" s="48" t="s">
        <v>344</v>
      </c>
      <c r="R94" s="48" t="s">
        <v>147</v>
      </c>
    </row>
    <row r="95" spans="1:18" ht="33.950000000000003" customHeight="1" x14ac:dyDescent="0.25">
      <c r="A95" s="20">
        <v>95</v>
      </c>
      <c r="B95" s="56">
        <v>46217</v>
      </c>
      <c r="C95" s="48" t="s">
        <v>345</v>
      </c>
      <c r="D95" s="48" t="s">
        <v>342</v>
      </c>
      <c r="E95" s="48" t="s">
        <v>7</v>
      </c>
      <c r="F95" s="75">
        <v>7927560</v>
      </c>
      <c r="G95" s="86">
        <v>7927560</v>
      </c>
      <c r="H95" s="86">
        <v>0</v>
      </c>
      <c r="I95" s="21">
        <v>1</v>
      </c>
      <c r="J95" s="52" t="s">
        <v>334</v>
      </c>
      <c r="K95" s="98" t="s">
        <v>148</v>
      </c>
      <c r="L95" s="56">
        <v>46240</v>
      </c>
      <c r="M95" s="98" t="s">
        <v>149</v>
      </c>
      <c r="N95" s="108">
        <f t="shared" ca="1" si="20"/>
        <v>22</v>
      </c>
      <c r="O95" s="75">
        <f t="shared" si="21"/>
        <v>7927560</v>
      </c>
      <c r="P95" s="48" t="s">
        <v>8</v>
      </c>
      <c r="Q95" s="48" t="s">
        <v>123</v>
      </c>
      <c r="R95" s="48" t="s">
        <v>124</v>
      </c>
    </row>
    <row r="96" spans="1:18" ht="33.950000000000003" customHeight="1" x14ac:dyDescent="0.25">
      <c r="A96" s="20">
        <v>96</v>
      </c>
      <c r="B96" s="56">
        <v>46227</v>
      </c>
      <c r="C96" s="48" t="s">
        <v>346</v>
      </c>
      <c r="D96" s="48" t="s">
        <v>347</v>
      </c>
      <c r="E96" s="48" t="s">
        <v>4</v>
      </c>
      <c r="F96" s="75">
        <v>684000</v>
      </c>
      <c r="G96" s="86">
        <v>0</v>
      </c>
      <c r="H96" s="86">
        <v>0</v>
      </c>
      <c r="I96" s="21">
        <v>0.4</v>
      </c>
      <c r="J96" s="52" t="s">
        <v>334</v>
      </c>
      <c r="K96" s="98" t="s">
        <v>303</v>
      </c>
      <c r="L96" s="56">
        <v>46240</v>
      </c>
      <c r="M96" s="98" t="s">
        <v>176</v>
      </c>
      <c r="N96" s="108">
        <f t="shared" ca="1" si="20"/>
        <v>12</v>
      </c>
      <c r="O96" s="75">
        <f t="shared" si="21"/>
        <v>273600</v>
      </c>
      <c r="P96" s="48" t="s">
        <v>5</v>
      </c>
      <c r="Q96" s="48" t="s">
        <v>125</v>
      </c>
      <c r="R96" s="48" t="s">
        <v>121</v>
      </c>
    </row>
    <row r="97" spans="1:18" ht="33.950000000000003" customHeight="1" x14ac:dyDescent="0.25">
      <c r="A97" s="20">
        <v>97</v>
      </c>
      <c r="B97" s="56">
        <v>46225</v>
      </c>
      <c r="C97" s="48" t="s">
        <v>348</v>
      </c>
      <c r="D97" s="48" t="s">
        <v>349</v>
      </c>
      <c r="E97" s="48" t="s">
        <v>7</v>
      </c>
      <c r="F97" s="75">
        <v>250800</v>
      </c>
      <c r="G97" s="86">
        <v>250800</v>
      </c>
      <c r="H97" s="86">
        <v>0</v>
      </c>
      <c r="I97" s="24">
        <v>1</v>
      </c>
      <c r="J97" s="52" t="s">
        <v>334</v>
      </c>
      <c r="K97" s="98" t="s">
        <v>126</v>
      </c>
      <c r="L97" s="56">
        <v>46240</v>
      </c>
      <c r="M97" s="98" t="s">
        <v>98</v>
      </c>
      <c r="N97" s="108">
        <f t="shared" ca="1" si="20"/>
        <v>14</v>
      </c>
      <c r="O97" s="75">
        <f t="shared" si="21"/>
        <v>250800</v>
      </c>
      <c r="P97" s="48" t="s">
        <v>5</v>
      </c>
      <c r="Q97" s="48" t="s">
        <v>125</v>
      </c>
      <c r="R97" s="48" t="s">
        <v>124</v>
      </c>
    </row>
    <row r="98" spans="1:18" ht="33.950000000000003" customHeight="1" x14ac:dyDescent="0.25">
      <c r="A98" s="20">
        <v>98</v>
      </c>
      <c r="B98" s="56">
        <v>46231</v>
      </c>
      <c r="C98" s="48" t="s">
        <v>350</v>
      </c>
      <c r="D98" s="48" t="s">
        <v>351</v>
      </c>
      <c r="E98" s="48" t="s">
        <v>1</v>
      </c>
      <c r="F98" s="75">
        <v>2516014</v>
      </c>
      <c r="G98" s="86">
        <v>0</v>
      </c>
      <c r="H98" s="86">
        <v>0</v>
      </c>
      <c r="I98" s="24">
        <v>0.4</v>
      </c>
      <c r="J98" s="52" t="s">
        <v>334</v>
      </c>
      <c r="K98" s="98" t="s">
        <v>352</v>
      </c>
      <c r="L98" s="56">
        <v>46240</v>
      </c>
      <c r="M98" s="98" t="s">
        <v>353</v>
      </c>
      <c r="N98" s="108">
        <f t="shared" ca="1" si="20"/>
        <v>8</v>
      </c>
      <c r="O98" s="75">
        <f t="shared" si="21"/>
        <v>1006405.6000000001</v>
      </c>
      <c r="P98" s="48" t="s">
        <v>8</v>
      </c>
      <c r="Q98" s="48" t="s">
        <v>125</v>
      </c>
      <c r="R98" s="48" t="s">
        <v>121</v>
      </c>
    </row>
    <row r="99" spans="1:18" ht="33.950000000000003" customHeight="1" x14ac:dyDescent="0.25">
      <c r="A99" s="20">
        <v>99</v>
      </c>
      <c r="B99" s="56">
        <v>46233</v>
      </c>
      <c r="C99" s="48" t="s">
        <v>99</v>
      </c>
      <c r="D99" s="48" t="s">
        <v>354</v>
      </c>
      <c r="E99" s="48" t="s">
        <v>1</v>
      </c>
      <c r="F99" s="75">
        <v>795150</v>
      </c>
      <c r="G99" s="86">
        <v>0</v>
      </c>
      <c r="H99" s="86">
        <v>0</v>
      </c>
      <c r="I99" s="24">
        <v>0.8</v>
      </c>
      <c r="J99" s="52" t="s">
        <v>334</v>
      </c>
      <c r="K99" s="98" t="s">
        <v>140</v>
      </c>
      <c r="L99" s="56">
        <v>46240</v>
      </c>
      <c r="M99" s="98" t="s">
        <v>355</v>
      </c>
      <c r="N99" s="108">
        <f t="shared" ca="1" si="20"/>
        <v>6</v>
      </c>
      <c r="O99" s="75">
        <f t="shared" si="21"/>
        <v>636120</v>
      </c>
      <c r="P99" s="48" t="s">
        <v>5</v>
      </c>
      <c r="Q99" s="48" t="s">
        <v>125</v>
      </c>
      <c r="R99" s="48" t="s">
        <v>121</v>
      </c>
    </row>
    <row r="100" spans="1:18" ht="33.950000000000003" customHeight="1" x14ac:dyDescent="0.25">
      <c r="A100" s="20">
        <v>100</v>
      </c>
      <c r="B100" s="56">
        <v>46205</v>
      </c>
      <c r="C100" s="48" t="s">
        <v>146</v>
      </c>
      <c r="D100" s="48" t="s">
        <v>356</v>
      </c>
      <c r="E100" s="48" t="s">
        <v>7</v>
      </c>
      <c r="F100" s="75">
        <v>489069</v>
      </c>
      <c r="G100" s="86">
        <v>489069</v>
      </c>
      <c r="H100" s="86">
        <v>0</v>
      </c>
      <c r="I100" s="24">
        <v>1</v>
      </c>
      <c r="J100" s="52" t="s">
        <v>357</v>
      </c>
      <c r="K100" s="98" t="s">
        <v>126</v>
      </c>
      <c r="L100" s="56">
        <v>46240</v>
      </c>
      <c r="M100" s="98" t="s">
        <v>138</v>
      </c>
      <c r="N100" s="108">
        <f t="shared" ca="1" si="20"/>
        <v>34</v>
      </c>
      <c r="O100" s="75">
        <f t="shared" si="21"/>
        <v>489069</v>
      </c>
      <c r="P100" s="48" t="s">
        <v>5</v>
      </c>
      <c r="Q100" s="48" t="s">
        <v>120</v>
      </c>
      <c r="R100" s="48" t="s">
        <v>124</v>
      </c>
    </row>
    <row r="101" spans="1:18" ht="33.950000000000003" customHeight="1" x14ac:dyDescent="0.25">
      <c r="A101" s="20">
        <v>101</v>
      </c>
      <c r="B101" s="56">
        <v>46205</v>
      </c>
      <c r="C101" s="48" t="s">
        <v>358</v>
      </c>
      <c r="D101" s="48" t="s">
        <v>359</v>
      </c>
      <c r="E101" s="48" t="s">
        <v>10</v>
      </c>
      <c r="F101" s="75">
        <v>1272240</v>
      </c>
      <c r="G101" s="86">
        <v>0</v>
      </c>
      <c r="H101" s="86">
        <v>1272240</v>
      </c>
      <c r="I101" s="24">
        <v>0</v>
      </c>
      <c r="J101" s="52" t="s">
        <v>357</v>
      </c>
      <c r="K101" s="98" t="s">
        <v>257</v>
      </c>
      <c r="L101" s="56">
        <v>46240</v>
      </c>
      <c r="M101" s="98" t="s">
        <v>143</v>
      </c>
      <c r="N101" s="108">
        <f t="shared" ca="1" si="20"/>
        <v>34</v>
      </c>
      <c r="O101" s="75">
        <f t="shared" si="21"/>
        <v>0</v>
      </c>
      <c r="P101" s="48" t="s">
        <v>8</v>
      </c>
      <c r="Q101" s="48" t="s">
        <v>120</v>
      </c>
      <c r="R101" s="48" t="s">
        <v>147</v>
      </c>
    </row>
    <row r="102" spans="1:18" ht="33.950000000000003" customHeight="1" x14ac:dyDescent="0.25">
      <c r="A102" s="20">
        <v>102</v>
      </c>
      <c r="B102" s="56">
        <v>46208</v>
      </c>
      <c r="C102" s="48" t="s">
        <v>360</v>
      </c>
      <c r="D102" s="48" t="s">
        <v>135</v>
      </c>
      <c r="E102" s="48" t="s">
        <v>7</v>
      </c>
      <c r="F102" s="75">
        <v>193800</v>
      </c>
      <c r="G102" s="86">
        <v>193800</v>
      </c>
      <c r="H102" s="86">
        <v>0</v>
      </c>
      <c r="I102" s="21">
        <v>1</v>
      </c>
      <c r="J102" s="52" t="s">
        <v>357</v>
      </c>
      <c r="K102" s="98" t="s">
        <v>361</v>
      </c>
      <c r="L102" s="56">
        <v>46240</v>
      </c>
      <c r="M102" s="98" t="s">
        <v>138</v>
      </c>
      <c r="N102" s="108">
        <f t="shared" ca="1" si="20"/>
        <v>31</v>
      </c>
      <c r="O102" s="75">
        <v>371945.52</v>
      </c>
      <c r="P102" s="48" t="s">
        <v>5</v>
      </c>
      <c r="Q102" s="48" t="s">
        <v>123</v>
      </c>
      <c r="R102" s="48" t="s">
        <v>124</v>
      </c>
    </row>
    <row r="103" spans="1:18" ht="33.950000000000003" customHeight="1" x14ac:dyDescent="0.25">
      <c r="A103" s="20">
        <v>103</v>
      </c>
      <c r="B103" s="56">
        <v>46211</v>
      </c>
      <c r="C103" s="48" t="s">
        <v>146</v>
      </c>
      <c r="D103" s="48" t="s">
        <v>376</v>
      </c>
      <c r="E103" s="48" t="s">
        <v>7</v>
      </c>
      <c r="F103" s="75">
        <v>706800</v>
      </c>
      <c r="G103" s="86">
        <v>706800</v>
      </c>
      <c r="H103" s="86">
        <v>0</v>
      </c>
      <c r="I103" s="21">
        <v>1</v>
      </c>
      <c r="J103" s="52" t="s">
        <v>357</v>
      </c>
      <c r="K103" s="98" t="s">
        <v>361</v>
      </c>
      <c r="L103" s="56">
        <v>46240</v>
      </c>
      <c r="M103" s="98" t="s">
        <v>138</v>
      </c>
      <c r="N103" s="108">
        <f t="shared" ca="1" si="20"/>
        <v>28</v>
      </c>
      <c r="O103" s="75">
        <f t="shared" ref="O103:O106" si="22">F103*I103</f>
        <v>706800</v>
      </c>
      <c r="P103" s="48" t="s">
        <v>5</v>
      </c>
      <c r="Q103" s="48" t="str">
        <f t="shared" ref="Q103:Q106" si="23">IF(OR(F103&gt;=50000000,I103&gt;=0.75),"Alta",IF(OR(F103&gt;=5000000,I103&gt;=0.5),"Média","Normal"))</f>
        <v>Alta</v>
      </c>
      <c r="R103" s="48" t="str">
        <f t="shared" ref="R103:R105" si="24">IF(E103="Proposta aprovada","Fechado ganho",IF(E103="Perdida","Fechado perdido","Aberto"))</f>
        <v>Fechado ganho</v>
      </c>
    </row>
    <row r="104" spans="1:18" ht="27" x14ac:dyDescent="0.25">
      <c r="A104" s="20">
        <v>104</v>
      </c>
      <c r="B104" s="56">
        <v>46213</v>
      </c>
      <c r="C104" s="48" t="s">
        <v>362</v>
      </c>
      <c r="D104" s="48" t="s">
        <v>363</v>
      </c>
      <c r="E104" s="48" t="s">
        <v>1</v>
      </c>
      <c r="F104" s="75">
        <v>8468775</v>
      </c>
      <c r="G104" s="86"/>
      <c r="H104" s="86">
        <v>0</v>
      </c>
      <c r="I104" s="21">
        <v>0.4</v>
      </c>
      <c r="J104" s="52" t="s">
        <v>357</v>
      </c>
      <c r="K104" s="98" t="s">
        <v>108</v>
      </c>
      <c r="L104" s="56">
        <v>46240</v>
      </c>
      <c r="M104" s="98" t="s">
        <v>97</v>
      </c>
      <c r="N104" s="108">
        <f t="shared" ca="1" si="20"/>
        <v>26</v>
      </c>
      <c r="O104" s="75">
        <f t="shared" si="22"/>
        <v>3387510</v>
      </c>
      <c r="P104" s="48" t="s">
        <v>5</v>
      </c>
      <c r="Q104" s="48" t="str">
        <f t="shared" si="23"/>
        <v>Média</v>
      </c>
      <c r="R104" s="48" t="str">
        <f t="shared" si="24"/>
        <v>Aberto</v>
      </c>
    </row>
    <row r="105" spans="1:18" s="25" customFormat="1" ht="27" x14ac:dyDescent="0.25">
      <c r="A105" s="20">
        <v>105</v>
      </c>
      <c r="B105" s="56">
        <v>46213</v>
      </c>
      <c r="C105" s="48" t="s">
        <v>364</v>
      </c>
      <c r="D105" s="48" t="s">
        <v>365</v>
      </c>
      <c r="E105" s="48" t="s">
        <v>7</v>
      </c>
      <c r="F105" s="75">
        <v>29640</v>
      </c>
      <c r="G105" s="86">
        <v>29640</v>
      </c>
      <c r="H105" s="86">
        <v>0</v>
      </c>
      <c r="I105" s="21">
        <v>1</v>
      </c>
      <c r="J105" s="52" t="s">
        <v>357</v>
      </c>
      <c r="K105" s="98" t="s">
        <v>257</v>
      </c>
      <c r="L105" s="56">
        <v>46240</v>
      </c>
      <c r="M105" s="98" t="s">
        <v>138</v>
      </c>
      <c r="N105" s="108">
        <f t="shared" ca="1" si="20"/>
        <v>26</v>
      </c>
      <c r="O105" s="75">
        <f t="shared" si="22"/>
        <v>29640</v>
      </c>
      <c r="P105" s="48" t="s">
        <v>8</v>
      </c>
      <c r="Q105" s="48" t="str">
        <f t="shared" si="23"/>
        <v>Alta</v>
      </c>
      <c r="R105" s="48" t="str">
        <f t="shared" si="24"/>
        <v>Fechado ganho</v>
      </c>
    </row>
    <row r="106" spans="1:18" s="25" customFormat="1" ht="27" x14ac:dyDescent="0.25">
      <c r="A106" s="20">
        <v>106</v>
      </c>
      <c r="B106" s="56">
        <v>46210</v>
      </c>
      <c r="C106" s="48" t="s">
        <v>366</v>
      </c>
      <c r="D106" s="48" t="s">
        <v>367</v>
      </c>
      <c r="E106" s="48" t="s">
        <v>4</v>
      </c>
      <c r="F106" s="75">
        <v>251370</v>
      </c>
      <c r="G106" s="86"/>
      <c r="H106" s="86">
        <v>0</v>
      </c>
      <c r="I106" s="21">
        <v>0.6</v>
      </c>
      <c r="J106" s="52" t="s">
        <v>357</v>
      </c>
      <c r="K106" s="98" t="s">
        <v>108</v>
      </c>
      <c r="L106" s="56">
        <v>46240</v>
      </c>
      <c r="M106" s="98" t="s">
        <v>377</v>
      </c>
      <c r="N106" s="108">
        <f t="shared" ca="1" si="20"/>
        <v>29</v>
      </c>
      <c r="O106" s="75">
        <f t="shared" si="22"/>
        <v>150822</v>
      </c>
      <c r="P106" s="48" t="s">
        <v>8</v>
      </c>
      <c r="Q106" s="48" t="str">
        <f t="shared" si="23"/>
        <v>Média</v>
      </c>
      <c r="R106" s="48" t="str">
        <f>IF(E106="Proposta aprovada","Fechado ganho",IF(E106="Perdida","Fechado perdido","Aberto"))</f>
        <v>Aberto</v>
      </c>
    </row>
    <row r="107" spans="1:18" s="25" customFormat="1" ht="27" x14ac:dyDescent="0.25">
      <c r="A107" s="20">
        <v>107</v>
      </c>
      <c r="B107" s="56">
        <v>46211</v>
      </c>
      <c r="C107" s="48" t="s">
        <v>368</v>
      </c>
      <c r="D107" s="48" t="s">
        <v>369</v>
      </c>
      <c r="E107" s="48" t="s">
        <v>10</v>
      </c>
      <c r="F107" s="75">
        <v>8468775</v>
      </c>
      <c r="G107" s="86">
        <v>0</v>
      </c>
      <c r="H107" s="86">
        <v>8468775</v>
      </c>
      <c r="I107" s="21">
        <v>0</v>
      </c>
      <c r="J107" s="52" t="s">
        <v>357</v>
      </c>
      <c r="K107" s="98" t="s">
        <v>257</v>
      </c>
      <c r="L107" s="56">
        <v>46240</v>
      </c>
      <c r="M107" s="98" t="s">
        <v>332</v>
      </c>
      <c r="N107" s="108">
        <f t="shared" ca="1" si="20"/>
        <v>28</v>
      </c>
      <c r="O107" s="75">
        <f t="shared" ref="O107:O111" si="25">IF(OR(F107="",I107=""),"",F107*I107)</f>
        <v>0</v>
      </c>
      <c r="P107" s="48" t="s">
        <v>8</v>
      </c>
      <c r="Q107" s="48" t="s">
        <v>125</v>
      </c>
      <c r="R107" s="48" t="s">
        <v>147</v>
      </c>
    </row>
    <row r="108" spans="1:18" s="25" customFormat="1" ht="27" x14ac:dyDescent="0.25">
      <c r="A108" s="20">
        <v>108</v>
      </c>
      <c r="B108" s="56">
        <v>46216</v>
      </c>
      <c r="C108" s="48" t="s">
        <v>370</v>
      </c>
      <c r="D108" s="48" t="s">
        <v>371</v>
      </c>
      <c r="E108" s="48" t="s">
        <v>1</v>
      </c>
      <c r="F108" s="75">
        <v>6002100</v>
      </c>
      <c r="G108" s="86">
        <v>0</v>
      </c>
      <c r="H108" s="86">
        <v>0</v>
      </c>
      <c r="I108" s="21">
        <v>0.4</v>
      </c>
      <c r="J108" s="52" t="s">
        <v>357</v>
      </c>
      <c r="K108" s="98" t="s">
        <v>378</v>
      </c>
      <c r="L108" s="56">
        <v>46240</v>
      </c>
      <c r="M108" s="98" t="s">
        <v>372</v>
      </c>
      <c r="N108" s="108">
        <f t="shared" ca="1" si="20"/>
        <v>23</v>
      </c>
      <c r="O108" s="75">
        <f t="shared" si="25"/>
        <v>2400840</v>
      </c>
      <c r="P108" s="48" t="s">
        <v>8</v>
      </c>
      <c r="Q108" s="48" t="s">
        <v>123</v>
      </c>
      <c r="R108" s="48" t="s">
        <v>121</v>
      </c>
    </row>
    <row r="109" spans="1:18" s="25" customFormat="1" ht="27" x14ac:dyDescent="0.25">
      <c r="A109" s="20">
        <v>109</v>
      </c>
      <c r="B109" s="56">
        <v>46218</v>
      </c>
      <c r="C109" s="48" t="s">
        <v>358</v>
      </c>
      <c r="D109" s="48" t="s">
        <v>150</v>
      </c>
      <c r="E109" s="48" t="s">
        <v>7</v>
      </c>
      <c r="F109" s="75">
        <v>444600</v>
      </c>
      <c r="G109" s="86">
        <v>444600</v>
      </c>
      <c r="H109" s="86">
        <v>0</v>
      </c>
      <c r="I109" s="21">
        <v>1</v>
      </c>
      <c r="J109" s="52" t="s">
        <v>357</v>
      </c>
      <c r="K109" s="98" t="s">
        <v>379</v>
      </c>
      <c r="L109" s="56">
        <v>46240</v>
      </c>
      <c r="M109" s="98" t="s">
        <v>138</v>
      </c>
      <c r="N109" s="108">
        <f t="shared" ca="1" si="20"/>
        <v>21</v>
      </c>
      <c r="O109" s="75">
        <f t="shared" si="25"/>
        <v>444600</v>
      </c>
      <c r="P109" s="48" t="s">
        <v>8</v>
      </c>
      <c r="Q109" s="48" t="s">
        <v>125</v>
      </c>
      <c r="R109" s="48" t="s">
        <v>124</v>
      </c>
    </row>
    <row r="110" spans="1:18" s="25" customFormat="1" ht="27" x14ac:dyDescent="0.25">
      <c r="A110" s="20">
        <v>110</v>
      </c>
      <c r="B110" s="56">
        <v>46230</v>
      </c>
      <c r="C110" s="48" t="s">
        <v>360</v>
      </c>
      <c r="D110" s="48" t="s">
        <v>373</v>
      </c>
      <c r="E110" s="48" t="s">
        <v>1</v>
      </c>
      <c r="F110" s="75">
        <v>530100</v>
      </c>
      <c r="G110" s="86">
        <v>0</v>
      </c>
      <c r="H110" s="86">
        <v>0</v>
      </c>
      <c r="I110" s="21">
        <v>0.4</v>
      </c>
      <c r="J110" s="52" t="s">
        <v>357</v>
      </c>
      <c r="K110" s="98" t="s">
        <v>378</v>
      </c>
      <c r="L110" s="56">
        <v>46240</v>
      </c>
      <c r="M110" s="98" t="s">
        <v>97</v>
      </c>
      <c r="N110" s="108">
        <f t="shared" ca="1" si="20"/>
        <v>9</v>
      </c>
      <c r="O110" s="75">
        <f t="shared" si="25"/>
        <v>212040</v>
      </c>
      <c r="P110" s="48" t="s">
        <v>8</v>
      </c>
      <c r="Q110" s="48" t="s">
        <v>125</v>
      </c>
      <c r="R110" s="48" t="s">
        <v>121</v>
      </c>
    </row>
    <row r="111" spans="1:18" s="25" customFormat="1" ht="27" x14ac:dyDescent="0.25">
      <c r="A111" s="20">
        <v>111</v>
      </c>
      <c r="B111" s="56">
        <v>46232</v>
      </c>
      <c r="C111" s="48" t="s">
        <v>374</v>
      </c>
      <c r="D111" s="48" t="s">
        <v>375</v>
      </c>
      <c r="E111" s="48" t="s">
        <v>1</v>
      </c>
      <c r="F111" s="75">
        <v>112860</v>
      </c>
      <c r="G111" s="86">
        <v>0</v>
      </c>
      <c r="H111" s="86">
        <v>0</v>
      </c>
      <c r="I111" s="21">
        <v>0.4</v>
      </c>
      <c r="J111" s="52" t="s">
        <v>357</v>
      </c>
      <c r="K111" s="98" t="s">
        <v>380</v>
      </c>
      <c r="L111" s="56">
        <v>46240</v>
      </c>
      <c r="M111" s="98" t="s">
        <v>97</v>
      </c>
      <c r="N111" s="108">
        <f t="shared" ref="N107:N111" ca="1" si="26">IF(B111="","",MAX(0,TODAY()-B111))</f>
        <v>7</v>
      </c>
      <c r="O111" s="75">
        <f t="shared" si="25"/>
        <v>45144</v>
      </c>
      <c r="P111" s="48" t="s">
        <v>8</v>
      </c>
      <c r="Q111" s="48" t="s">
        <v>120</v>
      </c>
      <c r="R111" s="48" t="s">
        <v>121</v>
      </c>
    </row>
    <row r="112" spans="1:18" x14ac:dyDescent="0.25">
      <c r="B112" s="17"/>
      <c r="C112" s="17"/>
      <c r="D112" s="17"/>
      <c r="E112" s="17"/>
      <c r="F112" s="83">
        <f>SUM(F2:F111)</f>
        <v>773832699.51999998</v>
      </c>
      <c r="G112" s="95">
        <f>SUM(G2:G111)</f>
        <v>101353537</v>
      </c>
      <c r="H112" s="95">
        <f>SUM(H2:H111)</f>
        <v>49361128</v>
      </c>
      <c r="I112" s="4"/>
      <c r="J112" s="63"/>
      <c r="K112" s="105"/>
      <c r="L112" s="17"/>
      <c r="M112" s="105"/>
      <c r="N112" s="17"/>
      <c r="O112" s="83">
        <f ca="1">SUM(O2:O111)</f>
        <v>370655428.32200003</v>
      </c>
      <c r="P112" s="17"/>
      <c r="Q112" s="17"/>
      <c r="R112" s="17"/>
    </row>
    <row r="113" spans="18:18" x14ac:dyDescent="0.25">
      <c r="R113" s="65"/>
    </row>
  </sheetData>
  <autoFilter ref="A1:R112">
    <sortState ref="A2:R118">
      <sortCondition ref="A1:A118"/>
    </sortState>
  </autoFilter>
  <conditionalFormatting sqref="I52:I54 I10:I26 I79:I80 I104:I111">
    <cfRule type="colorScale" priority="72">
      <colorScale>
        <cfvo type="num" val="0.4"/>
        <cfvo type="num" val="0.6"/>
        <cfvo type="num" val="1"/>
        <color rgb="FFF8696B"/>
        <color rgb="FFFFEB84"/>
        <color rgb="FF63BE7B"/>
      </colorScale>
    </cfRule>
  </conditionalFormatting>
  <conditionalFormatting sqref="I2:I9 I85 I103 I95:I96 I55:I63 I91:I93">
    <cfRule type="colorScale" priority="117">
      <colorScale>
        <cfvo type="num" val="0.4"/>
        <cfvo type="num" val="0.6"/>
        <cfvo type="num" val="1"/>
        <color rgb="FFF8696B"/>
        <color rgb="FFFFEB84"/>
        <color rgb="FF63BE7B"/>
      </colorScale>
    </cfRule>
  </conditionalFormatting>
  <conditionalFormatting sqref="I71:I78">
    <cfRule type="colorScale" priority="54">
      <colorScale>
        <cfvo type="num" val="0.4"/>
        <cfvo type="num" val="0.6"/>
        <cfvo type="num" val="1"/>
        <color rgb="FFF8696B"/>
        <color rgb="FFFFEB84"/>
        <color rgb="FF63BE7B"/>
      </colorScale>
    </cfRule>
  </conditionalFormatting>
  <conditionalFormatting sqref="I64:I70">
    <cfRule type="colorScale" priority="57">
      <colorScale>
        <cfvo type="num" val="0.4"/>
        <cfvo type="num" val="0.6"/>
        <cfvo type="num" val="1"/>
        <color rgb="FFF8696B"/>
        <color rgb="FFFFEB84"/>
        <color rgb="FF63BE7B"/>
      </colorScale>
    </cfRule>
  </conditionalFormatting>
  <conditionalFormatting sqref="I81">
    <cfRule type="colorScale" priority="51">
      <colorScale>
        <cfvo type="num" val="0.4"/>
        <cfvo type="num" val="0.6"/>
        <cfvo type="num" val="1"/>
        <color rgb="FFF8696B"/>
        <color rgb="FFFFEB84"/>
        <color rgb="FF63BE7B"/>
      </colorScale>
    </cfRule>
  </conditionalFormatting>
  <conditionalFormatting sqref="I82:I84">
    <cfRule type="colorScale" priority="48">
      <colorScale>
        <cfvo type="num" val="0.4"/>
        <cfvo type="num" val="0.6"/>
        <cfvo type="num" val="1"/>
        <color rgb="FFF8696B"/>
        <color rgb="FFFFEB84"/>
        <color rgb="FF63BE7B"/>
      </colorScale>
    </cfRule>
  </conditionalFormatting>
  <conditionalFormatting sqref="I86:I87">
    <cfRule type="colorScale" priority="45">
      <colorScale>
        <cfvo type="num" val="0.4"/>
        <cfvo type="num" val="0.6"/>
        <cfvo type="num" val="1"/>
        <color rgb="FFF8696B"/>
        <color rgb="FFFFEB84"/>
        <color rgb="FF63BE7B"/>
      </colorScale>
    </cfRule>
  </conditionalFormatting>
  <conditionalFormatting sqref="I88:I90">
    <cfRule type="colorScale" priority="42">
      <colorScale>
        <cfvo type="num" val="0.4"/>
        <cfvo type="num" val="0.6"/>
        <cfvo type="num" val="1"/>
        <color rgb="FFF8696B"/>
        <color rgb="FFFFEB84"/>
        <color rgb="FF63BE7B"/>
      </colorScale>
    </cfRule>
  </conditionalFormatting>
  <conditionalFormatting sqref="I94">
    <cfRule type="colorScale" priority="39">
      <colorScale>
        <cfvo type="num" val="0.4"/>
        <cfvo type="num" val="0.6"/>
        <cfvo type="num" val="1"/>
        <color rgb="FFF8696B"/>
        <color rgb="FFFFEB84"/>
        <color rgb="FF63BE7B"/>
      </colorScale>
    </cfRule>
  </conditionalFormatting>
  <conditionalFormatting sqref="I97:I102">
    <cfRule type="colorScale" priority="33">
      <colorScale>
        <cfvo type="num" val="0.4"/>
        <cfvo type="num" val="0.6"/>
        <cfvo type="num" val="1"/>
        <color rgb="FFF8696B"/>
        <color rgb="FFFFEB84"/>
        <color rgb="FF63BE7B"/>
      </colorScale>
    </cfRule>
  </conditionalFormatting>
  <conditionalFormatting sqref="L2:L14 L51:L111">
    <cfRule type="expression" dxfId="14" priority="116">
      <formula>AND($L2&lt;TODAY(),$R2="Aberto")</formula>
    </cfRule>
  </conditionalFormatting>
  <conditionalFormatting sqref="Q2:Q14 Q51:Q111">
    <cfRule type="expression" dxfId="13" priority="28">
      <formula>Q2="Alta"</formula>
    </cfRule>
  </conditionalFormatting>
  <conditionalFormatting sqref="E15:E26">
    <cfRule type="expression" dxfId="12" priority="22">
      <formula>OR(E15="Proposta aprovada",E15="Produção / Entrega")</formula>
    </cfRule>
    <cfRule type="expression" dxfId="11" priority="23">
      <formula>E15="Perdida"</formula>
    </cfRule>
  </conditionalFormatting>
  <conditionalFormatting sqref="Q15:Q26">
    <cfRule type="expression" dxfId="10" priority="22">
      <formula>Q15="Alta"</formula>
    </cfRule>
  </conditionalFormatting>
  <conditionalFormatting sqref="I27:I51">
    <cfRule type="colorScale" priority="15">
      <colorScale>
        <cfvo type="num" val="0.4"/>
        <cfvo type="num" val="0.6"/>
        <cfvo type="num" val="1"/>
        <color rgb="FFF8696B"/>
        <color rgb="FFFFEB84"/>
        <color rgb="FF63BE7B"/>
      </colorScale>
    </cfRule>
  </conditionalFormatting>
  <conditionalFormatting sqref="Q27:Q32">
    <cfRule type="expression" dxfId="9" priority="13">
      <formula>Q27="Alta"</formula>
    </cfRule>
  </conditionalFormatting>
  <conditionalFormatting sqref="E33:E38">
    <cfRule type="expression" dxfId="8" priority="10">
      <formula>OR(E33="Proposta aprovada",E33="Produção / Entrega")</formula>
    </cfRule>
    <cfRule type="expression" dxfId="7" priority="11">
      <formula>E33="Perdida"</formula>
    </cfRule>
  </conditionalFormatting>
  <conditionalFormatting sqref="Q33:Q38">
    <cfRule type="expression" dxfId="6" priority="12">
      <formula>Q33="Alta"</formula>
    </cfRule>
  </conditionalFormatting>
  <conditionalFormatting sqref="E39:E43">
    <cfRule type="expression" dxfId="5" priority="7">
      <formula>OR(E39="Proposta aprovada",E39="Produção / Entrega")</formula>
    </cfRule>
    <cfRule type="expression" dxfId="4" priority="8">
      <formula>E39="Perdida"</formula>
    </cfRule>
  </conditionalFormatting>
  <conditionalFormatting sqref="Q39:Q43">
    <cfRule type="expression" dxfId="3" priority="9">
      <formula>Q39="Alta"</formula>
    </cfRule>
  </conditionalFormatting>
  <conditionalFormatting sqref="E44:E49">
    <cfRule type="expression" dxfId="2" priority="4">
      <formula>OR(E44="Proposta aprovada",E44="Produção / Entrega")</formula>
    </cfRule>
    <cfRule type="expression" dxfId="1" priority="5">
      <formula>E44="Perdida"</formula>
    </cfRule>
  </conditionalFormatting>
  <conditionalFormatting sqref="Q44:Q50">
    <cfRule type="expression" dxfId="0" priority="6">
      <formula>Q44="Alta"</formula>
    </cfRule>
  </conditionalFormatting>
  <dataValidations count="1">
    <dataValidation type="list" sqref="E50:E51">
      <formula1>"Lead,Contacto,Reunião,Proposta enviada,Proposta em negociação,Proposta aprovada,Perdida"</formula1>
    </dataValidation>
  </dataValidations>
  <hyperlinks>
    <hyperlink ref="C55" r:id="rId1" display="D!@#$¨&amp;"/>
    <hyperlink ref="C31" r:id="rId2" display="D!@#$¨&amp;"/>
  </hyperlinks>
  <pageMargins left="0.75" right="0.75" top="1" bottom="1" header="0.5" footer="0.5"/>
  <pageSetup paperSize="9" orientation="portrait" r:id="rId3"/>
  <legacyDrawing r:id="rId4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>
          <x14:formula1>
            <xm:f>Listas!$A$2:$A$8</xm:f>
          </x14:formula1>
          <xm:sqref>J103 J2:J99</xm:sqref>
        </x14:dataValidation>
        <x14:dataValidation type="list">
          <x14:formula1>
            <xm:f>Listas!$B$2:$B$6</xm:f>
          </x14:formula1>
          <xm:sqref>E2:E10 E89:E93 E62:E64 E82:E87 E79:E80 E95:E111</xm:sqref>
        </x14:dataValidation>
        <x14:dataValidation type="list">
          <x14:formula1>
            <xm:f>Listas!$D$2:$D$4</xm:f>
          </x14:formula1>
          <xm:sqref>P2:P13 P91:P93 P79:P80 P95:P96 P62:P63 P82:P87</xm:sqref>
        </x14:dataValidation>
        <x14:dataValidation type="list">
          <x14:formula1>
            <xm:f>'[RELATÓRIO DE CLIENTES DE 06 À 10 DE JULHO DE 2026.xlsx]Listas'!#REF!</xm:f>
          </x14:formula1>
          <xm:sqref>P14 P27:P32 P52:P54</xm:sqref>
        </x14:dataValidation>
        <x14:dataValidation type="list">
          <x14:formula1>
            <xm:f>'[RELATÓRIO DE CLIENTES DE 06 À 10 DE JULHO DE 2026.xlsx]Listas'!#REF!</xm:f>
          </x14:formula1>
          <xm:sqref>E11:E14 E27:E32 E52:E56</xm:sqref>
        </x14:dataValidation>
        <x14:dataValidation type="list">
          <x14:formula1>
            <xm:f>'[RELATÓRIO COMERCIAL SEMANAL - 13 À 17 DE JULHO DE 2026.xlsx]Listas'!#REF!</xm:f>
          </x14:formula1>
          <xm:sqref>R15:R19 R33:R38</xm:sqref>
        </x14:dataValidation>
        <x14:dataValidation type="list">
          <x14:formula1>
            <xm:f>'[RELATÓRIO COMERCIAL SEMANAL - 13 À 17 DE JULHO DE 2026.xlsx]Listas'!#REF!</xm:f>
          </x14:formula1>
          <xm:sqref>Q15:Q19 Q33:Q38</xm:sqref>
        </x14:dataValidation>
        <x14:dataValidation type="list">
          <x14:formula1>
            <xm:f>'[RELATÓRIO COMERCIAL SEMANAL - 13 À 17 DE JULHO DE 2026.xlsx]Listas'!#REF!</xm:f>
          </x14:formula1>
          <xm:sqref>E15:E19 E33:E38</xm:sqref>
        </x14:dataValidation>
        <x14:dataValidation type="list">
          <x14:formula1>
            <xm:f>'[RELATÓRIO COMERCIAL SEMANAL - 27 À 31 DE JULHO DE 2026.xlsx]Listas'!#REF!</xm:f>
          </x14:formula1>
          <xm:sqref>R44:R50 R20:R26</xm:sqref>
        </x14:dataValidation>
        <x14:dataValidation type="list">
          <x14:formula1>
            <xm:f>'[RELATÓRIO COMERCIAL SEMANAL - 27 À 31 DE JULHO DE 2026.xlsx]Listas'!#REF!</xm:f>
          </x14:formula1>
          <xm:sqref>Q44:Q50 Q20:Q26</xm:sqref>
        </x14:dataValidation>
        <x14:dataValidation type="list">
          <x14:formula1>
            <xm:f>'[RELATÓRIO COMERCIAL SEMANAL - 27 À 31 DE JULHO DE 2026.xlsx]Listas'!#REF!</xm:f>
          </x14:formula1>
          <xm:sqref>E44:E49 E20:E26</xm:sqref>
        </x14:dataValidation>
        <x14:dataValidation type="list">
          <x14:formula1>
            <xm:f>'[RELATÓRIO COMERCIAL SEMANAL - 20 À 24 DE JULHO DE 2026.xlsx]Listas'!#REF!</xm:f>
          </x14:formula1>
          <xm:sqref>R39:R43</xm:sqref>
        </x14:dataValidation>
        <x14:dataValidation type="list">
          <x14:formula1>
            <xm:f>'[RELATÓRIO COMERCIAL SEMANAL - 20 À 24 DE JULHO DE 2026.xlsx]Listas'!#REF!</xm:f>
          </x14:formula1>
          <xm:sqref>Q39:Q43</xm:sqref>
        </x14:dataValidation>
        <x14:dataValidation type="list">
          <x14:formula1>
            <xm:f>'[RELATÓRIO COMERCIAL SEMANAL - 20 À 24 DE JULHO DE 2026.xlsx]Listas'!#REF!</xm:f>
          </x14:formula1>
          <xm:sqref>E39:E43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showGridLines="0" workbookViewId="0">
      <selection activeCell="F9" sqref="F9"/>
    </sheetView>
  </sheetViews>
  <sheetFormatPr defaultRowHeight="15" x14ac:dyDescent="0.25"/>
  <cols>
    <col min="1" max="1" width="22" customWidth="1"/>
    <col min="2" max="2" width="12" customWidth="1"/>
    <col min="3" max="3" width="24.140625" customWidth="1"/>
    <col min="4" max="4" width="23.7109375" customWidth="1"/>
    <col min="5" max="5" width="20.140625" customWidth="1"/>
    <col min="6" max="6" width="24.140625" customWidth="1"/>
    <col min="7" max="7" width="23" customWidth="1"/>
    <col min="8" max="8" width="17.5703125" customWidth="1"/>
    <col min="9" max="9" width="14" customWidth="1"/>
    <col min="10" max="10" width="12" customWidth="1"/>
    <col min="11" max="12" width="18" customWidth="1"/>
    <col min="13" max="13" width="16" customWidth="1"/>
  </cols>
  <sheetData>
    <row r="1" spans="1:13" x14ac:dyDescent="0.25">
      <c r="A1" s="31" t="s">
        <v>60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4" spans="1:13" ht="49.5" x14ac:dyDescent="0.25">
      <c r="A4" s="3" t="s">
        <v>61</v>
      </c>
      <c r="B4" s="3" t="s">
        <v>62</v>
      </c>
      <c r="C4" s="3" t="s">
        <v>63</v>
      </c>
      <c r="D4" s="3" t="s">
        <v>64</v>
      </c>
      <c r="E4" s="3" t="s">
        <v>65</v>
      </c>
      <c r="F4" s="3" t="s">
        <v>66</v>
      </c>
      <c r="G4" s="3" t="s">
        <v>67</v>
      </c>
      <c r="H4" s="3" t="s">
        <v>68</v>
      </c>
      <c r="I4" s="3" t="s">
        <v>69</v>
      </c>
      <c r="J4" s="3" t="s">
        <v>70</v>
      </c>
      <c r="K4" s="3" t="s">
        <v>71</v>
      </c>
      <c r="L4" s="3" t="s">
        <v>72</v>
      </c>
      <c r="M4" s="3" t="s">
        <v>73</v>
      </c>
    </row>
    <row r="5" spans="1:13" x14ac:dyDescent="0.25">
      <c r="A5" s="20" t="s">
        <v>3</v>
      </c>
      <c r="B5" s="5">
        <f>COUNTIF(Pipeline!$J$2:$J$111,A5)</f>
        <v>23</v>
      </c>
      <c r="C5" s="10">
        <f>SUMIF(Pipeline!$J$2:$J$111,A5,Pipeline!$F$2:$F$111)</f>
        <v>196269712.81999999</v>
      </c>
      <c r="D5" s="10">
        <f>SUMIF(Pipeline!$J$2:$J$111,A5,Pipeline!$G$2:$G$111)</f>
        <v>9641030</v>
      </c>
      <c r="E5" s="10">
        <f>SUMIF(Pipeline!$J$2:$J$111,A5,Pipeline!$H$2:$H$111)</f>
        <v>12668900</v>
      </c>
      <c r="F5" s="10">
        <f>SUMIF(Pipeline!$J$2:$J$111,A5,Pipeline!$O$2:$O$111)</f>
        <v>82964376.194000006</v>
      </c>
      <c r="G5" s="10">
        <f t="shared" ref="G5:H12" si="0">IF(B5=0,0,C5/B5)</f>
        <v>8533465.7747826092</v>
      </c>
      <c r="H5" s="11">
        <f t="shared" si="0"/>
        <v>4.9121333401256059E-2</v>
      </c>
      <c r="I5" s="5">
        <f>COUNTIFS(Pipeline!$J$2:$J$111,A5,Pipeline!$E$2:$E$111,"Proposta aprovada")</f>
        <v>5</v>
      </c>
      <c r="J5" s="5">
        <f>COUNTIFS(Pipeline!$J$2:$J$111,A5,Pipeline!$R$2:$R$111,"Aberto")</f>
        <v>13</v>
      </c>
      <c r="K5" s="5">
        <f ca="1">COUNTIFS(Pipeline!$J$2:$J$111,A5,Pipeline!$L$2:$L$111,"&gt;="&amp;TODAY(),Pipeline!$L$2:$L$111,"&lt;="&amp;TODAY()+7)</f>
        <v>23</v>
      </c>
      <c r="L5" s="5">
        <f>COUNTIFS(Pipeline!$J$2:$J$111,A5,Pipeline!$Q$2:$Q$111,"Alta")</f>
        <v>4</v>
      </c>
      <c r="M5" s="5" t="str">
        <f t="shared" ref="M5:M11" si="1">IF(H5&gt;=0.2,"Excelente",IF(H5&gt;=0.1,"Bom",IF(H5&gt;0,"Baixo","Crítico")))</f>
        <v>Baixo</v>
      </c>
    </row>
    <row r="6" spans="1:13" x14ac:dyDescent="0.25">
      <c r="A6" s="20" t="s">
        <v>6</v>
      </c>
      <c r="B6" s="5">
        <f>COUNTIF(Pipeline!$J$2:$J$111,A6)</f>
        <v>14</v>
      </c>
      <c r="C6" s="10">
        <f>SUMIF(Pipeline!$J$2:$J$111,A6,Pipeline!$F$2:$F$111)</f>
        <v>62249844</v>
      </c>
      <c r="D6" s="10">
        <f>SUMIF(Pipeline!$J$2:$J$111,A6,Pipeline!$G$2:$G$111)</f>
        <v>13754328</v>
      </c>
      <c r="E6" s="10">
        <f>SUMIF(Pipeline!$J$2:$J$111,A6,Pipeline!$H$2:$H$111)</f>
        <v>4206170</v>
      </c>
      <c r="F6" s="10">
        <f>SUMIF(Pipeline!$J$2:$J$111,A6,Pipeline!$O$2:$O$111)</f>
        <v>28629859</v>
      </c>
      <c r="G6" s="10">
        <f t="shared" si="0"/>
        <v>4446417.4285714282</v>
      </c>
      <c r="H6" s="11">
        <f t="shared" si="0"/>
        <v>0.22095361395604463</v>
      </c>
      <c r="I6" s="5">
        <f>COUNTIFS(Pipeline!$J$2:$J$111,A6,Pipeline!$E$2:$E$111,"Proposta aprovada")</f>
        <v>3</v>
      </c>
      <c r="J6" s="5">
        <f>COUNTIFS(Pipeline!$J$2:$J$111,A6,Pipeline!$R$2:$R$111,"Aberto")</f>
        <v>11</v>
      </c>
      <c r="K6" s="5">
        <f ca="1">COUNTIFS(Pipeline!$J$2:$J$111,A6,Pipeline!$L$2:$L$111,"&gt;="&amp;TODAY(),Pipeline!$L$2:$L$111,"&lt;="&amp;TODAY()+7)</f>
        <v>13</v>
      </c>
      <c r="L6" s="5">
        <f>COUNTIFS(Pipeline!$J$2:$J$111,A6,Pipeline!$Q$2:$Q$111,"Alta")</f>
        <v>9</v>
      </c>
      <c r="M6" s="5" t="str">
        <f t="shared" si="1"/>
        <v>Excelente</v>
      </c>
    </row>
    <row r="7" spans="1:13" x14ac:dyDescent="0.25">
      <c r="A7" s="20" t="s">
        <v>334</v>
      </c>
      <c r="B7" s="5">
        <f>COUNTIF(Pipeline!$J$2:$J$111,A7)</f>
        <v>10</v>
      </c>
      <c r="C7" s="10">
        <f>SUMIF(Pipeline!$J$2:$J$111,A7,Pipeline!$F$2:$F$111)</f>
        <v>42023854</v>
      </c>
      <c r="D7" s="10">
        <f>SUMIF(Pipeline!$J$2:$J$111,A7,Pipeline!$G$2:$G$111)</f>
        <v>12876300</v>
      </c>
      <c r="E7" s="10">
        <f>SUMIF(Pipeline!$J$2:$J$111,A7,Pipeline!$H$2:$H$111)</f>
        <v>3243300</v>
      </c>
      <c r="F7" s="10">
        <f>SUMIF(Pipeline!$J$2:$J$111,A7,Pipeline!$O$2:$O$111)</f>
        <v>19174243.600000001</v>
      </c>
      <c r="G7" s="10">
        <f>IF(B7=0,0,C7/B7)</f>
        <v>4202385.4000000004</v>
      </c>
      <c r="H7" s="11">
        <f t="shared" si="0"/>
        <v>0.30640454823586621</v>
      </c>
      <c r="I7" s="5">
        <f>COUNTIFS(Pipeline!$J$2:$J$111,A7,Pipeline!$E$2:$E$111,"Proposta aprovada")</f>
        <v>5</v>
      </c>
      <c r="J7" s="5">
        <f>COUNTIFS(Pipeline!$J$2:$J$111,A7,Pipeline!$R$2:$R$111,"Aberto")</f>
        <v>4</v>
      </c>
      <c r="K7" s="5">
        <f ca="1">COUNTIFS(Pipeline!$J$2:$J$111,A7,Pipeline!$L$2:$L$111,"&gt;="&amp;TODAY(),Pipeline!$L$2:$L$111,"&lt;="&amp;TODAY()+7)</f>
        <v>10</v>
      </c>
      <c r="L7" s="5">
        <f>COUNTIFS(Pipeline!$J$2:$J$111,A7,Pipeline!$Q$2:$Q$111,"Alta")</f>
        <v>3</v>
      </c>
      <c r="M7" s="5" t="str">
        <f t="shared" si="1"/>
        <v>Excelente</v>
      </c>
    </row>
    <row r="8" spans="1:13" x14ac:dyDescent="0.25">
      <c r="A8" s="20" t="s">
        <v>357</v>
      </c>
      <c r="B8" s="5">
        <f>COUNTIF(Pipeline!$J$2:$J$111,A8)</f>
        <v>12</v>
      </c>
      <c r="C8" s="10">
        <f>SUMIF(Pipeline!$J$2:$J$111,A8,Pipeline!$F$2:$F$111)</f>
        <v>26970129</v>
      </c>
      <c r="D8" s="10">
        <f>SUMIF(Pipeline!$J$2:$J$111,A8,Pipeline!$G$2:$G$111)</f>
        <v>1863909</v>
      </c>
      <c r="E8" s="10">
        <f>SUMIF(Pipeline!$J$2:$J$111,A8,Pipeline!$H$2:$H$111)</f>
        <v>9741015</v>
      </c>
      <c r="F8" s="10">
        <f>SUMIF(Pipeline!$J$2:$J$111,A8,Pipeline!$O$2:$O$111)</f>
        <v>8238410.5199999996</v>
      </c>
      <c r="G8" s="10">
        <f>IF(B8=0,0,C8/B8)</f>
        <v>2247510.75</v>
      </c>
      <c r="H8" s="11">
        <f t="shared" si="0"/>
        <v>6.9110125502180583E-2</v>
      </c>
      <c r="I8" s="5">
        <f>COUNTIFS(Pipeline!$J$2:$J$111,A8,Pipeline!$E$2:$E$111,"Proposta aprovada")</f>
        <v>5</v>
      </c>
      <c r="J8" s="5">
        <f>COUNTIFS(Pipeline!$J$2:$J$111,A8,Pipeline!$R$2:$R$111,"Aberto")</f>
        <v>5</v>
      </c>
      <c r="K8" s="5">
        <f ca="1">COUNTIFS(Pipeline!$J$2:$J$111,A8,Pipeline!$L$2:$L$111,"&gt;="&amp;TODAY(),Pipeline!$L$2:$L$111,"&lt;="&amp;TODAY()+7)</f>
        <v>12</v>
      </c>
      <c r="L8" s="5">
        <f>COUNTIFS(Pipeline!$J$2:$J$111,A8,Pipeline!$Q$2:$Q$111,"Alta")</f>
        <v>4</v>
      </c>
      <c r="M8" s="5" t="str">
        <f t="shared" si="1"/>
        <v>Baixo</v>
      </c>
    </row>
    <row r="9" spans="1:13" x14ac:dyDescent="0.25">
      <c r="A9" s="22" t="s">
        <v>11</v>
      </c>
      <c r="B9" s="5">
        <f>COUNTIF(Pipeline!$J$2:$J$111,A9)</f>
        <v>25</v>
      </c>
      <c r="C9" s="10">
        <f>SUMIF(Pipeline!$J$2:$J$111,A9,Pipeline!$F$2:$F$111)</f>
        <v>295443810.69999999</v>
      </c>
      <c r="D9" s="10">
        <f>SUMIF(Pipeline!$J$2:$J$115,A9,Pipeline!$G$2:$G$115)</f>
        <v>30159800</v>
      </c>
      <c r="E9" s="10">
        <f>SUMIF(Pipeline!$J$2:$J$111,A9,Pipeline!$H$2:$H$111)</f>
        <v>6222120</v>
      </c>
      <c r="F9" s="10">
        <f ca="1">SUMIF(Pipeline!$J$2:$J$111,A9,Pipeline!$O$2:$O$111)</f>
        <v>49126134</v>
      </c>
      <c r="G9" s="10">
        <f t="shared" si="0"/>
        <v>11817752.427999999</v>
      </c>
      <c r="H9" s="11">
        <f t="shared" si="0"/>
        <v>0.10208303206129747</v>
      </c>
      <c r="I9" s="5">
        <f>COUNTIFS(Pipeline!$J$2:$J$111,A9,Pipeline!$E$2:$E$111,"Proposta aprovada")</f>
        <v>9</v>
      </c>
      <c r="J9" s="5">
        <f>COUNTIFS(Pipeline!$J$2:$J$111,A9,Pipeline!$R$2:$R$111,"Aberto")</f>
        <v>13</v>
      </c>
      <c r="K9" s="5">
        <f ca="1">COUNTIFS(Pipeline!$J$2:$J$111,A9,Pipeline!$L$2:$L$111,"&gt;="&amp;TODAY(),Pipeline!$L$2:$L$111,"&lt;="&amp;TODAY()+7)</f>
        <v>25</v>
      </c>
      <c r="L9" s="5">
        <f>COUNTIFS(Pipeline!$J$2:$J$111,A9,Pipeline!$Q$2:$Q$111,"Alta")</f>
        <v>14</v>
      </c>
      <c r="M9" s="5" t="str">
        <f t="shared" si="1"/>
        <v>Bom</v>
      </c>
    </row>
    <row r="10" spans="1:13" x14ac:dyDescent="0.25">
      <c r="A10" s="20" t="s">
        <v>13</v>
      </c>
      <c r="B10" s="5">
        <f>COUNTIF(Pipeline!$J$2:$J$111,A10)</f>
        <v>18</v>
      </c>
      <c r="C10" s="10">
        <f>SUMIF(Pipeline!$J$2:$J$111,A10,Pipeline!$F$2:$F$111)</f>
        <v>111125968.88</v>
      </c>
      <c r="D10" s="10">
        <f>SUMIF(Pipeline!$J$2:$J$111,A10,Pipeline!$G$2:$G$111)</f>
        <v>32203170</v>
      </c>
      <c r="E10" s="10">
        <f>SUMIF(Pipeline!$J$2:$J$111,A10,Pipeline!$H$2:$H$111)</f>
        <v>12398175</v>
      </c>
      <c r="F10" s="10">
        <f>SUMIF(Pipeline!$J$2:$J$111,A10,Pipeline!$O$2:$O$111)</f>
        <v>58892477.599999994</v>
      </c>
      <c r="G10" s="10">
        <f t="shared" si="0"/>
        <v>6173664.9377777772</v>
      </c>
      <c r="H10" s="11">
        <f t="shared" si="0"/>
        <v>0.28978977933389066</v>
      </c>
      <c r="I10" s="5">
        <f>COUNTIFS(Pipeline!$J$2:$J$111,A10,Pipeline!$E$2:$E$111,"Proposta aprovada")</f>
        <v>8</v>
      </c>
      <c r="J10" s="5">
        <f>COUNTIFS(Pipeline!$J$2:$J$111,A10,Pipeline!$R$2:$R$111,"Aberto")</f>
        <v>9</v>
      </c>
      <c r="K10" s="5">
        <f ca="1">COUNTIFS(Pipeline!$J$2:$J$111,A10,Pipeline!$L$2:$L$111,"&gt;="&amp;TODAY(),Pipeline!$L$2:$L$111,"&lt;="&amp;TODAY()+7)</f>
        <v>18</v>
      </c>
      <c r="L10" s="5">
        <f>COUNTIFS(Pipeline!$J$2:$J$111,A10,Pipeline!$Q$2:$Q$111,"Alta")</f>
        <v>8</v>
      </c>
      <c r="M10" s="5" t="str">
        <f t="shared" si="1"/>
        <v>Excelente</v>
      </c>
    </row>
    <row r="11" spans="1:13" x14ac:dyDescent="0.25">
      <c r="A11" s="20" t="s">
        <v>103</v>
      </c>
      <c r="B11" s="5">
        <f>COUNTIF(Pipeline!$J$2:$J$111,A11)</f>
        <v>8</v>
      </c>
      <c r="C11" s="10">
        <f>SUMIF(Pipeline!$J$2:$J$111,A11,Pipeline!$F$2:$F$111)</f>
        <v>39749380.120000005</v>
      </c>
      <c r="D11" s="10">
        <f>SUMIF(Pipeline!$J$2:$J$111,A11,Pipeline!$G$2:$G$111)</f>
        <v>855000</v>
      </c>
      <c r="E11" s="10">
        <f>SUMIF(Pipeline!$J$2:$J$111,A11,Pipeline!$H$2:$H$111)</f>
        <v>881448</v>
      </c>
      <c r="F11" s="10">
        <f>SUMIF(Pipeline!$J$2:$J$111,A11,Pipeline!$O$2:$O$111)</f>
        <v>18661541.436000001</v>
      </c>
      <c r="G11" s="10">
        <f t="shared" si="0"/>
        <v>4968672.5150000006</v>
      </c>
      <c r="H11" s="11">
        <f t="shared" si="0"/>
        <v>2.1509769395618938E-2</v>
      </c>
      <c r="I11" s="5">
        <f>COUNTIFS(Pipeline!$J$2:$J$111,A11,Pipeline!$E$2:$E$111,"Proposta aprovada")</f>
        <v>1</v>
      </c>
      <c r="J11" s="5">
        <f>COUNTIFS(Pipeline!$J$2:$J$111,A11,Pipeline!$R$2:$R$111,"Aberto")</f>
        <v>7</v>
      </c>
      <c r="K11" s="5">
        <f ca="1">COUNTIFS(Pipeline!$J$2:$J$111,A11,Pipeline!$L$2:$L$111,"&gt;="&amp;TODAY(),Pipeline!$L$2:$L$111,"&lt;="&amp;TODAY()+7)</f>
        <v>8</v>
      </c>
      <c r="L11" s="5">
        <f>COUNTIFS(Pipeline!$J$2:$J$111,A11,Pipeline!$Q$2:$Q$111,"Alta")</f>
        <v>1</v>
      </c>
      <c r="M11" s="5" t="str">
        <f t="shared" si="1"/>
        <v>Baixo</v>
      </c>
    </row>
    <row r="12" spans="1:13" x14ac:dyDescent="0.25">
      <c r="A12" s="4" t="s">
        <v>74</v>
      </c>
      <c r="B12" s="4">
        <f>SUM(B5:B11)</f>
        <v>110</v>
      </c>
      <c r="C12" s="9">
        <f>SUM(C5:C11)</f>
        <v>773832699.51999998</v>
      </c>
      <c r="D12" s="9">
        <f>SUM(D5:D11)</f>
        <v>101353537</v>
      </c>
      <c r="E12" s="18">
        <f>SUM(E5:E11)</f>
        <v>49361128</v>
      </c>
      <c r="F12" s="9">
        <f ca="1">SUM(F5:F11)</f>
        <v>210365873.40400001</v>
      </c>
      <c r="G12" s="9">
        <f t="shared" si="0"/>
        <v>7034842.722909091</v>
      </c>
      <c r="H12" s="19">
        <f>IF(C12=0,0,D12/C12)</f>
        <v>0.13097603275600592</v>
      </c>
      <c r="I12" s="16">
        <f>SUM(I5:I11)</f>
        <v>36</v>
      </c>
      <c r="J12" s="16">
        <f>SUM(J5:J11)</f>
        <v>62</v>
      </c>
      <c r="K12" s="16">
        <f ca="1">SUM(K5:K11)</f>
        <v>109</v>
      </c>
      <c r="L12" s="16">
        <f>SUM(L5:L11)</f>
        <v>43</v>
      </c>
      <c r="M12" s="16" t="s">
        <v>75</v>
      </c>
    </row>
  </sheetData>
  <mergeCells count="1">
    <mergeCell ref="A1:M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>
          <x14:formula1>
            <xm:f>Listas!$A$2:$A$8</xm:f>
          </x14:formula1>
          <xm:sqref>A5:A8 A10:A11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showGridLines="0" workbookViewId="0">
      <selection activeCell="D15" sqref="D15"/>
    </sheetView>
  </sheetViews>
  <sheetFormatPr defaultRowHeight="15" x14ac:dyDescent="0.25"/>
  <cols>
    <col min="1" max="1" width="36" customWidth="1"/>
    <col min="2" max="2" width="27.5703125" customWidth="1"/>
    <col min="3" max="3" width="29.140625" customWidth="1"/>
    <col min="4" max="4" width="18.42578125" customWidth="1"/>
  </cols>
  <sheetData>
    <row r="1" spans="1:4" x14ac:dyDescent="0.25">
      <c r="A1" s="31" t="s">
        <v>76</v>
      </c>
      <c r="B1" s="27"/>
      <c r="C1" s="27"/>
      <c r="D1" s="27"/>
    </row>
    <row r="2" spans="1:4" x14ac:dyDescent="0.25">
      <c r="A2" s="27"/>
      <c r="B2" s="27"/>
      <c r="C2" s="27"/>
      <c r="D2" s="27"/>
    </row>
    <row r="4" spans="1:4" ht="16.5" x14ac:dyDescent="0.3">
      <c r="A4" s="6" t="s">
        <v>77</v>
      </c>
      <c r="B4" s="6" t="s">
        <v>381</v>
      </c>
      <c r="C4" s="6" t="s">
        <v>382</v>
      </c>
      <c r="D4" s="6" t="s">
        <v>78</v>
      </c>
    </row>
    <row r="5" spans="1:4" x14ac:dyDescent="0.25">
      <c r="A5" s="7" t="s">
        <v>79</v>
      </c>
      <c r="B5" s="7">
        <v>113</v>
      </c>
      <c r="C5" s="7">
        <v>110</v>
      </c>
      <c r="D5" s="12">
        <f t="shared" ref="D5:D9" si="0">IF(B5=0,0,C5/B5-1)</f>
        <v>-2.6548672566371723E-2</v>
      </c>
    </row>
    <row r="6" spans="1:4" x14ac:dyDescent="0.25">
      <c r="A6" s="7" t="s">
        <v>80</v>
      </c>
      <c r="B6" s="7">
        <v>113</v>
      </c>
      <c r="C6" s="7">
        <v>111</v>
      </c>
      <c r="D6" s="12">
        <f t="shared" si="0"/>
        <v>-1.7699115044247815E-2</v>
      </c>
    </row>
    <row r="7" spans="1:4" x14ac:dyDescent="0.25">
      <c r="A7" s="7" t="s">
        <v>81</v>
      </c>
      <c r="B7" s="13">
        <v>754845125.74000001</v>
      </c>
      <c r="C7" s="13">
        <v>773832699.51999998</v>
      </c>
      <c r="D7" s="12">
        <f t="shared" si="0"/>
        <v>2.5154264275583538E-2</v>
      </c>
    </row>
    <row r="8" spans="1:4" x14ac:dyDescent="0.25">
      <c r="A8" s="7" t="s">
        <v>82</v>
      </c>
      <c r="B8" s="13">
        <v>57094129.619999997</v>
      </c>
      <c r="C8" s="13">
        <v>101353537</v>
      </c>
      <c r="D8" s="12">
        <f t="shared" si="0"/>
        <v>0.77520066729410297</v>
      </c>
    </row>
    <row r="9" spans="1:4" x14ac:dyDescent="0.25">
      <c r="A9" s="7" t="s">
        <v>83</v>
      </c>
      <c r="B9" s="13">
        <v>26060058.100000001</v>
      </c>
      <c r="C9" s="13">
        <v>49361128</v>
      </c>
      <c r="D9" s="12">
        <f t="shared" si="0"/>
        <v>0.89412962206711266</v>
      </c>
    </row>
    <row r="10" spans="1:4" x14ac:dyDescent="0.25">
      <c r="A10" s="7" t="s">
        <v>84</v>
      </c>
      <c r="B10" s="12">
        <f>B8/B7</f>
        <v>7.5636879239338942E-2</v>
      </c>
      <c r="C10" s="12">
        <f>C8/C7</f>
        <v>0.13097603275600592</v>
      </c>
      <c r="D10" s="12">
        <f>D8/D7</f>
        <v>30.817862880075015</v>
      </c>
    </row>
  </sheetData>
  <mergeCells count="1">
    <mergeCell ref="A1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showGridLines="0" tabSelected="1" topLeftCell="F8" zoomScale="84" workbookViewId="0">
      <selection activeCell="P24" sqref="P24"/>
    </sheetView>
  </sheetViews>
  <sheetFormatPr defaultRowHeight="15" x14ac:dyDescent="0.25"/>
  <cols>
    <col min="1" max="9" width="18" customWidth="1"/>
    <col min="10" max="10" width="22.140625" customWidth="1"/>
    <col min="11" max="11" width="26.42578125" customWidth="1"/>
    <col min="12" max="12" width="23.5703125" customWidth="1"/>
    <col min="13" max="13" width="26.85546875" customWidth="1"/>
  </cols>
  <sheetData>
    <row r="1" spans="1:11" ht="24" customHeight="1" x14ac:dyDescent="0.25">
      <c r="A1" s="31" t="s">
        <v>85</v>
      </c>
      <c r="B1" s="27"/>
      <c r="C1" s="27"/>
      <c r="D1" s="27"/>
      <c r="E1" s="27"/>
      <c r="F1" s="27"/>
      <c r="G1" s="27"/>
      <c r="H1" s="27"/>
    </row>
    <row r="2" spans="1:11" ht="24" customHeight="1" x14ac:dyDescent="0.25">
      <c r="A2" s="27"/>
      <c r="B2" s="27"/>
      <c r="C2" s="27"/>
      <c r="D2" s="27"/>
      <c r="E2" s="27"/>
      <c r="F2" s="27"/>
      <c r="G2" s="27"/>
      <c r="H2" s="27"/>
    </row>
    <row r="3" spans="1:11" ht="24" customHeight="1" x14ac:dyDescent="0.25"/>
    <row r="4" spans="1:11" ht="24" customHeight="1" x14ac:dyDescent="0.25">
      <c r="A4" s="39" t="s">
        <v>86</v>
      </c>
      <c r="B4" s="27"/>
      <c r="C4" s="33" t="s">
        <v>63</v>
      </c>
      <c r="D4" s="27"/>
      <c r="E4" s="41" t="s">
        <v>64</v>
      </c>
      <c r="F4" s="27"/>
      <c r="G4" s="40" t="s">
        <v>68</v>
      </c>
      <c r="H4" s="27"/>
    </row>
    <row r="5" spans="1:11" ht="24" customHeight="1" x14ac:dyDescent="0.25">
      <c r="A5" s="36">
        <f>COUNTA(Pipeline!$A$2:$A$102)</f>
        <v>101</v>
      </c>
      <c r="B5" s="27"/>
      <c r="C5" s="43">
        <f>SUM(Pipeline!$F$2:$F$111)</f>
        <v>773832699.51999998</v>
      </c>
      <c r="D5" s="27"/>
      <c r="E5" s="45">
        <f>SUM(Pipeline!$G$2:$G$111)</f>
        <v>101353537</v>
      </c>
      <c r="F5" s="27"/>
      <c r="G5" s="44">
        <f>IF(C5=0,0,E5/C5)</f>
        <v>0.13097603275600592</v>
      </c>
      <c r="H5" s="27"/>
    </row>
    <row r="6" spans="1:11" ht="24" customHeight="1" x14ac:dyDescent="0.25"/>
    <row r="7" spans="1:11" ht="24" customHeight="1" x14ac:dyDescent="0.25"/>
    <row r="8" spans="1:11" ht="24" customHeight="1" x14ac:dyDescent="0.25">
      <c r="A8" s="37" t="s">
        <v>66</v>
      </c>
      <c r="B8" s="27"/>
      <c r="C8" s="33" t="s">
        <v>87</v>
      </c>
      <c r="D8" s="27"/>
      <c r="E8" s="38" t="s">
        <v>88</v>
      </c>
      <c r="F8" s="27"/>
      <c r="G8" s="39" t="s">
        <v>71</v>
      </c>
      <c r="H8" s="27"/>
    </row>
    <row r="9" spans="1:11" ht="24" customHeight="1" x14ac:dyDescent="0.25">
      <c r="A9" s="35">
        <f ca="1">SUM(Pipeline!$O$2:$O$111)</f>
        <v>370655428.32200003</v>
      </c>
      <c r="B9" s="27"/>
      <c r="C9" s="34">
        <f>AVERAGE(Pipeline!$I$2:$I$111)</f>
        <v>0.56999999999999962</v>
      </c>
      <c r="D9" s="27"/>
      <c r="E9" s="42">
        <f>COUNTIF(Pipeline!$Q$2:$Q$111,"Alta")</f>
        <v>43</v>
      </c>
      <c r="F9" s="27"/>
      <c r="G9" s="36">
        <f ca="1">COUNTIFS(Pipeline!$L$2:$L$111,"&gt;="&amp;TODAY(),Pipeline!$L$2:$L$111,"&lt;="&amp;TODAY()+7)</f>
        <v>109</v>
      </c>
      <c r="H9" s="27"/>
    </row>
    <row r="10" spans="1:11" ht="24" customHeight="1" x14ac:dyDescent="0.25"/>
    <row r="11" spans="1:11" ht="24" customHeight="1" x14ac:dyDescent="0.25"/>
    <row r="12" spans="1:11" ht="24" customHeight="1" x14ac:dyDescent="0.25">
      <c r="A12" s="32" t="s">
        <v>89</v>
      </c>
      <c r="B12" s="27"/>
      <c r="C12" s="27"/>
      <c r="D12" s="27"/>
      <c r="E12" s="27"/>
      <c r="F12" s="27"/>
      <c r="G12" s="27"/>
      <c r="H12" s="27"/>
    </row>
    <row r="13" spans="1:11" ht="24" customHeight="1" x14ac:dyDescent="0.25">
      <c r="A13" s="27"/>
      <c r="B13" s="27"/>
      <c r="C13" s="27"/>
      <c r="D13" s="27"/>
      <c r="E13" s="27"/>
      <c r="F13" s="27"/>
      <c r="G13" s="27"/>
      <c r="H13" s="27"/>
      <c r="J13" s="4" t="s">
        <v>90</v>
      </c>
      <c r="K13" s="4" t="s">
        <v>91</v>
      </c>
    </row>
    <row r="14" spans="1:11" ht="24" customHeight="1" x14ac:dyDescent="0.25">
      <c r="A14" s="27"/>
      <c r="B14" s="27"/>
      <c r="C14" s="27"/>
      <c r="D14" s="27"/>
      <c r="E14" s="27"/>
      <c r="F14" s="27"/>
      <c r="G14" s="27"/>
      <c r="H14" s="27"/>
      <c r="J14" t="s">
        <v>1</v>
      </c>
      <c r="K14" s="14">
        <f>COUNTIF(Pipeline!$E$2:$E$111,J14)</f>
        <v>52</v>
      </c>
    </row>
    <row r="15" spans="1:11" ht="24" customHeight="1" x14ac:dyDescent="0.25">
      <c r="J15" t="s">
        <v>4</v>
      </c>
      <c r="K15" s="14">
        <f>COUNTIF(Pipeline!$E$2:$E$111,J15)</f>
        <v>11</v>
      </c>
    </row>
    <row r="16" spans="1:11" ht="24" customHeight="1" x14ac:dyDescent="0.25">
      <c r="J16" t="s">
        <v>7</v>
      </c>
      <c r="K16" s="14">
        <f>COUNTIF(Pipeline!$E$2:$E$111,J16)</f>
        <v>36</v>
      </c>
    </row>
    <row r="17" spans="10:13" ht="24" customHeight="1" x14ac:dyDescent="0.25">
      <c r="J17" t="s">
        <v>10</v>
      </c>
      <c r="K17" s="14">
        <f>COUNTIF(Pipeline!$E$2:$E$111,J17)</f>
        <v>11</v>
      </c>
    </row>
    <row r="18" spans="10:13" ht="24" customHeight="1" x14ac:dyDescent="0.25"/>
    <row r="19" spans="10:13" ht="24" customHeight="1" x14ac:dyDescent="0.25"/>
    <row r="20" spans="10:13" ht="24" customHeight="1" x14ac:dyDescent="0.25">
      <c r="J20" s="4" t="s">
        <v>61</v>
      </c>
      <c r="K20" s="16" t="s">
        <v>92</v>
      </c>
      <c r="L20" s="16" t="s">
        <v>93</v>
      </c>
      <c r="M20" s="17" t="s">
        <v>94</v>
      </c>
    </row>
    <row r="21" spans="10:13" ht="24" customHeight="1" x14ac:dyDescent="0.25">
      <c r="J21" s="8" t="str">
        <f>KPIs_Comerciais!A5</f>
        <v>Amélia Cassinda</v>
      </c>
      <c r="K21" s="15">
        <f>KPIs_Comerciais!C5</f>
        <v>196269712.81999999</v>
      </c>
      <c r="L21" s="15">
        <f>KPIs_Comerciais!D5</f>
        <v>9641030</v>
      </c>
      <c r="M21" s="15">
        <f>KPIs_Comerciais!F5</f>
        <v>82964376.194000006</v>
      </c>
    </row>
    <row r="22" spans="10:13" ht="24" customHeight="1" x14ac:dyDescent="0.25">
      <c r="J22" s="8" t="str">
        <f>KPIs_Comerciais!A6</f>
        <v>David Guedes</v>
      </c>
      <c r="K22" s="15">
        <f>KPIs_Comerciais!C6</f>
        <v>62249844</v>
      </c>
      <c r="L22" s="15">
        <f>KPIs_Comerciais!D6</f>
        <v>13754328</v>
      </c>
      <c r="M22" s="15">
        <f>KPIs_Comerciais!F6</f>
        <v>28629859</v>
      </c>
    </row>
    <row r="23" spans="10:13" ht="24" customHeight="1" x14ac:dyDescent="0.25">
      <c r="J23" s="8" t="str">
        <f>KPIs_Comerciais!A7</f>
        <v>Ilídio Pedro</v>
      </c>
      <c r="K23" s="15">
        <f>KPIs_Comerciais!C7</f>
        <v>42023854</v>
      </c>
      <c r="L23" s="15">
        <f>KPIs_Comerciais!D7</f>
        <v>12876300</v>
      </c>
      <c r="M23" s="15">
        <f>KPIs_Comerciais!F7</f>
        <v>19174243.600000001</v>
      </c>
    </row>
    <row r="24" spans="10:13" ht="24" customHeight="1" x14ac:dyDescent="0.25">
      <c r="J24" s="8" t="str">
        <f>KPIs_Comerciais!A8</f>
        <v>Fernando Leite</v>
      </c>
      <c r="K24" s="15">
        <f>KPIs_Comerciais!C8</f>
        <v>26970129</v>
      </c>
      <c r="L24" s="15">
        <f>KPIs_Comerciais!D8</f>
        <v>1863909</v>
      </c>
      <c r="M24" s="15">
        <f>KPIs_Comerciais!F8</f>
        <v>8238410.5199999996</v>
      </c>
    </row>
    <row r="25" spans="10:13" ht="24" customHeight="1" x14ac:dyDescent="0.25">
      <c r="J25" s="8" t="str">
        <f>KPIs_Comerciais!A9</f>
        <v>Luísa Baltazar</v>
      </c>
      <c r="K25" s="15">
        <f>KPIs_Comerciais!C9</f>
        <v>295443810.69999999</v>
      </c>
      <c r="L25" s="15">
        <f>KPIs_Comerciais!D9</f>
        <v>30159800</v>
      </c>
      <c r="M25" s="15">
        <v>49126134</v>
      </c>
    </row>
    <row r="26" spans="10:13" ht="24" customHeight="1" x14ac:dyDescent="0.25">
      <c r="J26" s="8" t="str">
        <f>KPIs_Comerciais!A10</f>
        <v>Marta de Oliveira</v>
      </c>
      <c r="K26" s="15">
        <f>KPIs_Comerciais!C10</f>
        <v>111125968.88</v>
      </c>
      <c r="L26" s="15">
        <f>KPIs_Comerciais!D10</f>
        <v>32203170</v>
      </c>
      <c r="M26" s="15">
        <f>KPIs_Comerciais!F10</f>
        <v>58892477.599999994</v>
      </c>
    </row>
    <row r="27" spans="10:13" ht="24" customHeight="1" x14ac:dyDescent="0.25">
      <c r="J27" s="8" t="str">
        <f>KPIs_Comerciais!A11</f>
        <v>José Neto</v>
      </c>
      <c r="K27" s="15">
        <f>KPIs_Comerciais!C11</f>
        <v>39749380.120000005</v>
      </c>
      <c r="L27" s="15">
        <f>KPIs_Comerciais!D11</f>
        <v>855000</v>
      </c>
      <c r="M27" s="15">
        <f>KPIs_Comerciais!F11</f>
        <v>18661541.436000001</v>
      </c>
    </row>
    <row r="28" spans="10:13" ht="24" customHeight="1" x14ac:dyDescent="0.25"/>
    <row r="29" spans="10:13" ht="24" customHeight="1" x14ac:dyDescent="0.25"/>
    <row r="30" spans="10:13" ht="24" customHeight="1" x14ac:dyDescent="0.25"/>
    <row r="31" spans="10:13" ht="24" customHeight="1" x14ac:dyDescent="0.25"/>
    <row r="32" spans="10:13" ht="24" customHeight="1" x14ac:dyDescent="0.25"/>
    <row r="33" ht="24" customHeight="1" x14ac:dyDescent="0.25"/>
    <row r="34" ht="24" customHeight="1" x14ac:dyDescent="0.25"/>
    <row r="35" ht="24" customHeight="1" x14ac:dyDescent="0.25"/>
    <row r="36" ht="24" customHeight="1" x14ac:dyDescent="0.25"/>
    <row r="37" ht="24" customHeight="1" x14ac:dyDescent="0.25"/>
    <row r="38" ht="24" customHeight="1" x14ac:dyDescent="0.25"/>
    <row r="39" ht="24" customHeight="1" x14ac:dyDescent="0.25"/>
    <row r="40" ht="24" customHeight="1" x14ac:dyDescent="0.25"/>
    <row r="41" ht="24" customHeight="1" x14ac:dyDescent="0.25"/>
  </sheetData>
  <mergeCells count="18">
    <mergeCell ref="G5:H5"/>
    <mergeCell ref="E5:F5"/>
    <mergeCell ref="A12:H14"/>
    <mergeCell ref="C4:D4"/>
    <mergeCell ref="A1:H2"/>
    <mergeCell ref="C9:D9"/>
    <mergeCell ref="A9:B9"/>
    <mergeCell ref="G9:H9"/>
    <mergeCell ref="A8:B8"/>
    <mergeCell ref="E8:F8"/>
    <mergeCell ref="C8:D8"/>
    <mergeCell ref="A4:B4"/>
    <mergeCell ref="G4:H4"/>
    <mergeCell ref="E4:F4"/>
    <mergeCell ref="E9:F9"/>
    <mergeCell ref="G8:H8"/>
    <mergeCell ref="C5:D5"/>
    <mergeCell ref="A5:B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Listas</vt:lpstr>
      <vt:lpstr>Capa</vt:lpstr>
      <vt:lpstr>Instruções_CRM</vt:lpstr>
      <vt:lpstr>Pipeline</vt:lpstr>
      <vt:lpstr>KPIs_Comerciais</vt:lpstr>
      <vt:lpstr>Comparativo_Semanas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12</cp:lastModifiedBy>
  <dcterms:created xsi:type="dcterms:W3CDTF">2026-03-06T23:42:56Z</dcterms:created>
  <dcterms:modified xsi:type="dcterms:W3CDTF">2026-08-05T12:25:30Z</dcterms:modified>
</cp:coreProperties>
</file>