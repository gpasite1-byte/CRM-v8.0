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f8d792250c45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_V5" sheetId="1" r:id="Rbd193aea42d348a9"/>
    <x:sheet xmlns:r="http://schemas.openxmlformats.org/officeDocument/2006/relationships" name="Base_Duas_Semanas" sheetId="2" r:id="R88454220d8e74d93"/>
    <x:sheet xmlns:r="http://schemas.openxmlformats.org/officeDocument/2006/relationships" name="Metas_Performance" sheetId="3" r:id="Ra921102a258446f0"/>
    <x:sheet xmlns:r="http://schemas.openxmlformats.org/officeDocument/2006/relationships" name="CRM_Proxima_Semana" sheetId="4" r:id="R6d1db969c2a24d43"/>
    <x:sheet xmlns:r="http://schemas.openxmlformats.org/officeDocument/2006/relationships" name="Comparativo" sheetId="5" r:id="Rbadd8043143543f1"/>
    <x:sheet xmlns:r="http://schemas.openxmlformats.org/officeDocument/2006/relationships" name="Listas" sheetId="6" r:id="R2e1198d939cd46a6"/>
    <x:sheet xmlns:r="http://schemas.openxmlformats.org/officeDocument/2006/relationships" name="Manual" sheetId="7" r:id="R741ccc65fc6445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#,##0.00 &quot;AOA&quot;"/>
    <x:numFmt numFmtId="202" formatCode="0%"/>
    <x:numFmt numFmtId="203" formatCode="dd/mm/yyyy"/>
    <x:numFmt numFmtId="204" formatCode="0.0%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color rgb="FF1F1F1F"/>
      <x:name val="Carlito"/>
    </x:font>
    <x:font>
      <x:b/>
      <x:sz val="15"/>
      <x:color rgb="FF1F1F1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FFFFFF"/>
      </x:patternFill>
    </x:fill>
    <x:fill>
      <x:patternFill patternType="solid">
        <x:fgColor rgb="FF5B9BD5"/>
      </x:patternFill>
    </x:fill>
    <x:fill>
      <x:patternFill patternType="solid">
        <x:fgColor rgb="FF70AD47"/>
      </x:patternFill>
    </x:fill>
    <x:fill>
      <x:patternFill patternType="solid">
        <x:fgColor rgb="FFED7D31"/>
      </x:patternFill>
    </x:fill>
  </x:fills>
  <x:borders count="34">
    <x:border/>
    <x:border/>
    <x:border>
      <x:left style="thin">
        <x:color rgb="FF17365D"/>
      </x:left>
      <x:top style="thin">
        <x:color rgb="FF17365D"/>
      </x:top>
    </x:border>
    <x:border>
      <x:right style="thin">
        <x:color rgb="FF17365D"/>
      </x:right>
      <x:top style="thin">
        <x:color rgb="FF17365D"/>
      </x:top>
    </x:border>
    <x:border>
      <x:left style="thin">
        <x:color rgb="FF17365D"/>
      </x:left>
      <x:bottom style="thin">
        <x:color rgb="FF17365D"/>
      </x:bottom>
    </x:border>
    <x:border>
      <x:right style="thin">
        <x:color rgb="FF17365D"/>
      </x:right>
      <x:bottom style="thin">
        <x:color rgb="FF17365D"/>
      </x:bottom>
    </x:border>
    <x:border>
      <x:left style="thin">
        <x:color rgb="FF17365D"/>
      </x:left>
      <x:top style="thin">
        <x:color rgb="FF17365D"/>
      </x:top>
    </x:border>
    <x:border>
      <x:right style="thin">
        <x:color rgb="FF17365D"/>
      </x:right>
      <x:top style="thin">
        <x:color rgb="FF17365D"/>
      </x:top>
    </x:border>
    <x:border>
      <x:left style="thin">
        <x:color rgb="FF17365D"/>
      </x:left>
      <x:bottom style="thin">
        <x:color rgb="FF17365D"/>
      </x:bottom>
    </x:border>
    <x:border>
      <x:right style="thin">
        <x:color rgb="FF17365D"/>
      </x:right>
      <x:bottom style="thin">
        <x:color rgb="FF17365D"/>
      </x:bottom>
    </x:border>
    <x:border>
      <x:left style="thin">
        <x:color rgb="FF5B9BD5"/>
      </x:left>
      <x:top style="thin">
        <x:color rgb="FF5B9BD5"/>
      </x:top>
    </x:border>
    <x:border>
      <x:right style="thin">
        <x:color rgb="FF5B9BD5"/>
      </x:right>
      <x:top style="thin">
        <x:color rgb="FF5B9BD5"/>
      </x:top>
    </x:border>
    <x:border>
      <x:left style="thin">
        <x:color rgb="FF5B9BD5"/>
      </x:left>
      <x:bottom style="thin">
        <x:color rgb="FF5B9BD5"/>
      </x:bottom>
    </x:border>
    <x:border>
      <x:right style="thin">
        <x:color rgb="FF5B9BD5"/>
      </x:right>
      <x:bottom style="thin">
        <x:color rgb="FF5B9BD5"/>
      </x:bottom>
    </x:border>
    <x:border>
      <x:left style="thin">
        <x:color rgb="FF5B9BD5"/>
      </x:left>
      <x:top style="thin">
        <x:color rgb="FF5B9BD5"/>
      </x:top>
    </x:border>
    <x:border>
      <x:right style="thin">
        <x:color rgb="FF5B9BD5"/>
      </x:right>
      <x:top style="thin">
        <x:color rgb="FF5B9BD5"/>
      </x:top>
    </x:border>
    <x:border>
      <x:left style="thin">
        <x:color rgb="FF5B9BD5"/>
      </x:left>
      <x:bottom style="thin">
        <x:color rgb="FF5B9BD5"/>
      </x:bottom>
    </x:border>
    <x:border>
      <x:right style="thin">
        <x:color rgb="FF5B9BD5"/>
      </x:right>
      <x:bottom style="thin">
        <x:color rgb="FF5B9BD5"/>
      </x:bottom>
    </x:border>
    <x:border>
      <x:left style="thin">
        <x:color rgb="FF70AD47"/>
      </x:left>
      <x:top style="thin">
        <x:color rgb="FF70AD47"/>
      </x:top>
    </x:border>
    <x:border>
      <x:right style="thin">
        <x:color rgb="FF70AD47"/>
      </x:right>
      <x:top style="thin">
        <x:color rgb="FF70AD47"/>
      </x:top>
    </x:border>
    <x:border>
      <x:left style="thin">
        <x:color rgb="FF70AD47"/>
      </x:left>
      <x:bottom style="thin">
        <x:color rgb="FF70AD47"/>
      </x:bottom>
    </x:border>
    <x:border>
      <x:right style="thin">
        <x:color rgb="FF70AD47"/>
      </x:right>
      <x:bottom style="thin">
        <x:color rgb="FF70AD47"/>
      </x:bottom>
    </x:border>
    <x:border>
      <x:left style="thin">
        <x:color rgb="FF70AD47"/>
      </x:left>
      <x:top style="thin">
        <x:color rgb="FF70AD47"/>
      </x:top>
    </x:border>
    <x:border>
      <x:right style="thin">
        <x:color rgb="FF70AD47"/>
      </x:right>
      <x:top style="thin">
        <x:color rgb="FF70AD47"/>
      </x:top>
    </x:border>
    <x:border>
      <x:left style="thin">
        <x:color rgb="FF70AD47"/>
      </x:left>
      <x:bottom style="thin">
        <x:color rgb="FF70AD47"/>
      </x:bottom>
    </x:border>
    <x:border>
      <x:right style="thin">
        <x:color rgb="FF70AD47"/>
      </x:right>
      <x:bottom style="thin">
        <x:color rgb="FF70AD47"/>
      </x:bottom>
    </x:border>
    <x:border>
      <x:left style="thin">
        <x:color rgb="FFED7D31"/>
      </x:left>
      <x:top style="thin">
        <x:color rgb="FFED7D31"/>
      </x:top>
    </x:border>
    <x:border>
      <x:right style="thin">
        <x:color rgb="FFED7D31"/>
      </x:right>
      <x:top style="thin">
        <x:color rgb="FFED7D31"/>
      </x:top>
    </x:border>
    <x:border>
      <x:left style="thin">
        <x:color rgb="FFED7D31"/>
      </x:left>
      <x:bottom style="thin">
        <x:color rgb="FFED7D31"/>
      </x:bottom>
    </x:border>
    <x:border>
      <x:right style="thin">
        <x:color rgb="FFED7D31"/>
      </x:right>
      <x:bottom style="thin">
        <x:color rgb="FFED7D31"/>
      </x:bottom>
    </x:border>
    <x:border>
      <x:left style="thin">
        <x:color rgb="FFED7D31"/>
      </x:left>
      <x:top style="thin">
        <x:color rgb="FFED7D31"/>
      </x:top>
    </x:border>
    <x:border>
      <x:right style="thin">
        <x:color rgb="FFED7D31"/>
      </x:right>
      <x:top style="thin">
        <x:color rgb="FFED7D31"/>
      </x:top>
    </x:border>
    <x:border>
      <x:left style="thin">
        <x:color rgb="FFED7D31"/>
      </x:left>
      <x:bottom style="thin">
        <x:color rgb="FFED7D31"/>
      </x:bottom>
    </x:border>
    <x:border>
      <x:right style="thin">
        <x:color rgb="FFED7D31"/>
      </x:right>
      <x:bottom style="thin">
        <x:color rgb="FFED7D31"/>
      </x:bottom>
    </x:border>
  </x:borders>
  <x:cellStyleXfs count="1">
    <x:xf numFmtId="0" fontId="0" fillId="0" borderId="0"/>
  </x:cellStyleXfs>
  <x:cellXfs count="19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4" xfId="0" applyNumberFormat="1" applyFont="1" applyFill="1" applyBorder="1"/>
    <x:xf numFmtId="0" fontId="4" fillId="4" borderId="5" xfId="0" applyNumberFormat="1" applyFont="1" applyFill="1" applyBorder="1"/>
    <x:xf numFmtId="0" fontId="4" fillId="4" borderId="2" xfId="0" applyNumberFormat="1" applyFont="1" applyFill="1" applyBorder="1" applyAlignment="1">
      <x:alignment horizontal="center"/>
    </x:xf>
    <x:xf numFmtId="0" fontId="4" fillId="4" borderId="3" xfId="0" applyNumberFormat="1" applyFont="1" applyFill="1" applyBorder="1" applyAlignment="1">
      <x:alignment horizontal="center"/>
    </x:xf>
    <x:xf numFmtId="0" fontId="4" fillId="4" borderId="4" xfId="0" applyNumberFormat="1" applyFont="1" applyFill="1" applyBorder="1" applyAlignment="1">
      <x:alignment horizontal="center"/>
    </x:xf>
    <x:xf numFmtId="0" fontId="4" fillId="4" borderId="5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4" fillId="4" borderId="3" xfId="0" applyNumberFormat="1" applyFont="1" applyFill="1" applyBorder="1" applyAlignment="1">
      <x:alignment horizontal="center" vertical="center"/>
    </x:xf>
    <x:xf numFmtId="0" fontId="4" fillId="4" borderId="4" xfId="0" applyNumberFormat="1" applyFont="1" applyFill="1" applyBorder="1" applyAlignment="1">
      <x:alignment horizontal="center" vertical="center"/>
    </x:xf>
    <x:xf numFmtId="0" fontId="4" fillId="4" borderId="5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6" xfId="0" applyNumberFormat="1" applyFont="1" applyFill="1" applyBorder="1"/>
    <x:xf numFmtId="0" fontId="4" fillId="4" borderId="7" xfId="0" applyNumberFormat="1" applyFont="1" applyFill="1" applyBorder="1"/>
    <x:xf numFmtId="0" fontId="4" fillId="4" borderId="8" xfId="0" applyNumberFormat="1" applyFont="1" applyFill="1" applyBorder="1"/>
    <x:xf numFmtId="0" fontId="4" fillId="4" borderId="9" xfId="0" applyNumberFormat="1" applyFont="1" applyFill="1" applyBorder="1"/>
    <x:xf numFmtId="0" fontId="4" fillId="4" borderId="6" xfId="0" applyNumberFormat="1" applyFont="1" applyFill="1" applyBorder="1" applyAlignment="1">
      <x:alignment horizontal="center"/>
    </x:xf>
    <x:xf numFmtId="0" fontId="4" fillId="4" borderId="7" xfId="0" applyNumberFormat="1" applyFont="1" applyFill="1" applyBorder="1" applyAlignment="1">
      <x:alignment horizontal="center"/>
    </x:xf>
    <x:xf numFmtId="0" fontId="4" fillId="4" borderId="8" xfId="0" applyNumberFormat="1" applyFont="1" applyFill="1" applyBorder="1" applyAlignment="1">
      <x:alignment horizontal="center"/>
    </x:xf>
    <x:xf numFmtId="0" fontId="4" fillId="4" borderId="9" xfId="0" applyNumberFormat="1" applyFont="1" applyFill="1" applyBorder="1" applyAlignment="1">
      <x:alignment horizontal="center"/>
    </x:xf>
    <x:xf numFmtId="0" fontId="4" fillId="4" borderId="6" xfId="0" applyNumberFormat="1" applyFont="1" applyFill="1" applyBorder="1" applyAlignment="1">
      <x:alignment horizontal="center" vertical="center"/>
    </x:xf>
    <x:xf numFmtId="0" fontId="4" fillId="4" borderId="7" xfId="0" applyNumberFormat="1" applyFont="1" applyFill="1" applyBorder="1" applyAlignment="1">
      <x:alignment horizontal="center" vertical="center"/>
    </x:xf>
    <x:xf numFmtId="0" fontId="4" fillId="4" borderId="8" xfId="0" applyNumberFormat="1" applyFont="1" applyFill="1" applyBorder="1" applyAlignment="1">
      <x:alignment horizontal="center" vertical="center"/>
    </x:xf>
    <x:xf numFmtId="0" fontId="4" fillId="4" borderId="9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  <x:xf numFmtId="0" fontId="1" fillId="5" borderId="1" xfId="0" applyNumberFormat="1" applyFont="1" applyFill="1" applyBorder="1" applyAlignment="1">
      <x:alignment horizontal="center" vertical="center"/>
    </x:xf>
    <x:xf numFmtId="0" fontId="4" fillId="4" borderId="10" xfId="0" applyNumberFormat="1" applyFont="1" applyFill="1" applyBorder="1"/>
    <x:xf numFmtId="0" fontId="4" fillId="4" borderId="11" xfId="0" applyNumberFormat="1" applyFont="1" applyFill="1" applyBorder="1"/>
    <x:xf numFmtId="0" fontId="4" fillId="4" borderId="12" xfId="0" applyNumberFormat="1" applyFont="1" applyFill="1" applyBorder="1"/>
    <x:xf numFmtId="0" fontId="4" fillId="4" borderId="13" xfId="0" applyNumberFormat="1" applyFont="1" applyFill="1" applyBorder="1"/>
    <x:xf numFmtId="0" fontId="4" fillId="4" borderId="10" xfId="0" applyNumberFormat="1" applyFont="1" applyFill="1" applyBorder="1" applyAlignment="1">
      <x:alignment horizontal="center"/>
    </x:xf>
    <x:xf numFmtId="0" fontId="4" fillId="4" borderId="11" xfId="0" applyNumberFormat="1" applyFont="1" applyFill="1" applyBorder="1" applyAlignment="1">
      <x:alignment horizontal="center"/>
    </x:xf>
    <x:xf numFmtId="0" fontId="4" fillId="4" borderId="12" xfId="0" applyNumberFormat="1" applyFont="1" applyFill="1" applyBorder="1" applyAlignment="1">
      <x:alignment horizontal="center"/>
    </x:xf>
    <x:xf numFmtId="0" fontId="4" fillId="4" borderId="13" xfId="0" applyNumberFormat="1" applyFont="1" applyFill="1" applyBorder="1" applyAlignment="1">
      <x:alignment horizontal="center"/>
    </x:xf>
    <x:xf numFmtId="0" fontId="4" fillId="4" borderId="10" xfId="0" applyNumberFormat="1" applyFont="1" applyFill="1" applyBorder="1" applyAlignment="1">
      <x:alignment horizontal="center" vertical="center"/>
    </x:xf>
    <x:xf numFmtId="0" fontId="4" fillId="4" borderId="11" xfId="0" applyNumberFormat="1" applyFont="1" applyFill="1" applyBorder="1" applyAlignment="1">
      <x:alignment horizontal="center" vertical="center"/>
    </x:xf>
    <x:xf numFmtId="0" fontId="4" fillId="4" borderId="12" xfId="0" applyNumberFormat="1" applyFont="1" applyFill="1" applyBorder="1" applyAlignment="1">
      <x:alignment horizontal="center" vertical="center"/>
    </x:xf>
    <x:xf numFmtId="0" fontId="4" fillId="4" borderId="13" xfId="0" applyNumberFormat="1" applyFont="1" applyFill="1" applyBorder="1" applyAlignment="1">
      <x:alignment horizontal="center" vertical="center"/>
    </x:xf>
    <x:xf numFmtId="0" fontId="4" fillId="4" borderId="14" xfId="0" applyNumberFormat="1" applyFont="1" applyFill="1" applyBorder="1"/>
    <x:xf numFmtId="0" fontId="4" fillId="4" borderId="15" xfId="0" applyNumberFormat="1" applyFont="1" applyFill="1" applyBorder="1"/>
    <x:xf numFmtId="0" fontId="4" fillId="4" borderId="16" xfId="0" applyNumberFormat="1" applyFont="1" applyFill="1" applyBorder="1"/>
    <x:xf numFmtId="0" fontId="4" fillId="4" borderId="17" xfId="0" applyNumberFormat="1" applyFont="1" applyFill="1" applyBorder="1"/>
    <x:xf numFmtId="0" fontId="4" fillId="4" borderId="14" xfId="0" applyNumberFormat="1" applyFont="1" applyFill="1" applyBorder="1" applyAlignment="1">
      <x:alignment horizontal="center"/>
    </x:xf>
    <x:xf numFmtId="0" fontId="4" fillId="4" borderId="15" xfId="0" applyNumberFormat="1" applyFont="1" applyFill="1" applyBorder="1" applyAlignment="1">
      <x:alignment horizontal="center"/>
    </x:xf>
    <x:xf numFmtId="0" fontId="4" fillId="4" borderId="16" xfId="0" applyNumberFormat="1" applyFont="1" applyFill="1" applyBorder="1" applyAlignment="1">
      <x:alignment horizontal="center"/>
    </x:xf>
    <x:xf numFmtId="0" fontId="4" fillId="4" borderId="17" xfId="0" applyNumberFormat="1" applyFont="1" applyFill="1" applyBorder="1" applyAlignment="1">
      <x:alignment horizontal="center"/>
    </x:xf>
    <x:xf numFmtId="0" fontId="4" fillId="4" borderId="14" xfId="0" applyNumberFormat="1" applyFont="1" applyFill="1" applyBorder="1" applyAlignment="1">
      <x:alignment horizontal="center" vertical="center"/>
    </x:xf>
    <x:xf numFmtId="0" fontId="4" fillId="4" borderId="15" xfId="0" applyNumberFormat="1" applyFont="1" applyFill="1" applyBorder="1" applyAlignment="1">
      <x:alignment horizontal="center" vertical="center"/>
    </x:xf>
    <x:xf numFmtId="0" fontId="4" fillId="4" borderId="16" xfId="0" applyNumberFormat="1" applyFont="1" applyFill="1" applyBorder="1" applyAlignment="1">
      <x:alignment horizontal="center" vertical="center"/>
    </x:xf>
    <x:xf numFmtId="0" fontId="4" fillId="4" borderId="17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horizontal="center"/>
    </x:xf>
    <x:xf numFmtId="0" fontId="1" fillId="6" borderId="1" xfId="0" applyNumberFormat="1" applyFont="1" applyFill="1" applyBorder="1" applyAlignment="1">
      <x:alignment horizontal="center" vertical="center"/>
    </x:xf>
    <x:xf numFmtId="0" fontId="4" fillId="4" borderId="18" xfId="0" applyNumberFormat="1" applyFont="1" applyFill="1" applyBorder="1"/>
    <x:xf numFmtId="0" fontId="4" fillId="4" borderId="19" xfId="0" applyNumberFormat="1" applyFont="1" applyFill="1" applyBorder="1"/>
    <x:xf numFmtId="0" fontId="4" fillId="4" borderId="20" xfId="0" applyNumberFormat="1" applyFont="1" applyFill="1" applyBorder="1"/>
    <x:xf numFmtId="0" fontId="4" fillId="4" borderId="21" xfId="0" applyNumberFormat="1" applyFont="1" applyFill="1" applyBorder="1"/>
    <x:xf numFmtId="0" fontId="4" fillId="4" borderId="18" xfId="0" applyNumberFormat="1" applyFont="1" applyFill="1" applyBorder="1" applyAlignment="1">
      <x:alignment horizontal="center"/>
    </x:xf>
    <x:xf numFmtId="0" fontId="4" fillId="4" borderId="19" xfId="0" applyNumberFormat="1" applyFont="1" applyFill="1" applyBorder="1" applyAlignment="1">
      <x:alignment horizontal="center"/>
    </x:xf>
    <x:xf numFmtId="0" fontId="4" fillId="4" borderId="20" xfId="0" applyNumberFormat="1" applyFont="1" applyFill="1" applyBorder="1" applyAlignment="1">
      <x:alignment horizontal="center"/>
    </x:xf>
    <x:xf numFmtId="0" fontId="4" fillId="4" borderId="21" xfId="0" applyNumberFormat="1" applyFont="1" applyFill="1" applyBorder="1" applyAlignment="1">
      <x:alignment horizontal="center"/>
    </x:xf>
    <x:xf numFmtId="0" fontId="4" fillId="4" borderId="18" xfId="0" applyNumberFormat="1" applyFont="1" applyFill="1" applyBorder="1" applyAlignment="1">
      <x:alignment horizontal="center" vertical="center"/>
    </x:xf>
    <x:xf numFmtId="0" fontId="4" fillId="4" borderId="19" xfId="0" applyNumberFormat="1" applyFont="1" applyFill="1" applyBorder="1" applyAlignment="1">
      <x:alignment horizontal="center" vertical="center"/>
    </x:xf>
    <x:xf numFmtId="0" fontId="4" fillId="4" borderId="20" xfId="0" applyNumberFormat="1" applyFont="1" applyFill="1" applyBorder="1" applyAlignment="1">
      <x:alignment horizontal="center" vertical="center"/>
    </x:xf>
    <x:xf numFmtId="0" fontId="4" fillId="4" borderId="21" xfId="0" applyNumberFormat="1" applyFont="1" applyFill="1" applyBorder="1" applyAlignment="1">
      <x:alignment horizontal="center" vertical="center"/>
    </x:xf>
    <x:xf numFmtId="0" fontId="4" fillId="4" borderId="22" xfId="0" applyNumberFormat="1" applyFont="1" applyFill="1" applyBorder="1"/>
    <x:xf numFmtId="0" fontId="4" fillId="4" borderId="23" xfId="0" applyNumberFormat="1" applyFont="1" applyFill="1" applyBorder="1"/>
    <x:xf numFmtId="0" fontId="4" fillId="4" borderId="24" xfId="0" applyNumberFormat="1" applyFont="1" applyFill="1" applyBorder="1"/>
    <x:xf numFmtId="0" fontId="4" fillId="4" borderId="25" xfId="0" applyNumberFormat="1" applyFont="1" applyFill="1" applyBorder="1"/>
    <x:xf numFmtId="0" fontId="4" fillId="4" borderId="22" xfId="0" applyNumberFormat="1" applyFont="1" applyFill="1" applyBorder="1" applyAlignment="1">
      <x:alignment horizontal="center"/>
    </x:xf>
    <x:xf numFmtId="0" fontId="4" fillId="4" borderId="23" xfId="0" applyNumberFormat="1" applyFont="1" applyFill="1" applyBorder="1" applyAlignment="1">
      <x:alignment horizontal="center"/>
    </x:xf>
    <x:xf numFmtId="0" fontId="4" fillId="4" borderId="24" xfId="0" applyNumberFormat="1" applyFont="1" applyFill="1" applyBorder="1" applyAlignment="1">
      <x:alignment horizontal="center"/>
    </x:xf>
    <x:xf numFmtId="0" fontId="4" fillId="4" borderId="25" xfId="0" applyNumberFormat="1" applyFont="1" applyFill="1" applyBorder="1" applyAlignment="1">
      <x:alignment horizontal="center"/>
    </x:xf>
    <x:xf numFmtId="0" fontId="4" fillId="4" borderId="22" xfId="0" applyNumberFormat="1" applyFont="1" applyFill="1" applyBorder="1" applyAlignment="1">
      <x:alignment horizontal="center" vertical="center"/>
    </x:xf>
    <x:xf numFmtId="0" fontId="4" fillId="4" borderId="23" xfId="0" applyNumberFormat="1" applyFont="1" applyFill="1" applyBorder="1" applyAlignment="1">
      <x:alignment horizontal="center" vertical="center"/>
    </x:xf>
    <x:xf numFmtId="0" fontId="4" fillId="4" borderId="24" xfId="0" applyNumberFormat="1" applyFont="1" applyFill="1" applyBorder="1" applyAlignment="1">
      <x:alignment horizontal="center" vertical="center"/>
    </x:xf>
    <x:xf numFmtId="0" fontId="4" fillId="4" borderId="25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1" xfId="0" applyNumberFormat="1" applyFont="1" applyFill="1" applyBorder="1" applyAlignment="1">
      <x:alignment horizontal="center"/>
    </x:xf>
    <x:xf numFmtId="0" fontId="1" fillId="7" borderId="1" xfId="0" applyNumberFormat="1" applyFont="1" applyFill="1" applyBorder="1" applyAlignment="1">
      <x:alignment horizontal="center" vertical="center"/>
    </x:xf>
    <x:xf numFmtId="0" fontId="4" fillId="4" borderId="26" xfId="0" applyNumberFormat="1" applyFont="1" applyFill="1" applyBorder="1"/>
    <x:xf numFmtId="0" fontId="4" fillId="4" borderId="27" xfId="0" applyNumberFormat="1" applyFont="1" applyFill="1" applyBorder="1"/>
    <x:xf numFmtId="0" fontId="4" fillId="4" borderId="28" xfId="0" applyNumberFormat="1" applyFont="1" applyFill="1" applyBorder="1"/>
    <x:xf numFmtId="0" fontId="4" fillId="4" borderId="29" xfId="0" applyNumberFormat="1" applyFont="1" applyFill="1" applyBorder="1"/>
    <x:xf numFmtId="0" fontId="4" fillId="4" borderId="26" xfId="0" applyNumberFormat="1" applyFont="1" applyFill="1" applyBorder="1" applyAlignment="1">
      <x:alignment horizontal="center"/>
    </x:xf>
    <x:xf numFmtId="0" fontId="4" fillId="4" borderId="27" xfId="0" applyNumberFormat="1" applyFont="1" applyFill="1" applyBorder="1" applyAlignment="1">
      <x:alignment horizontal="center"/>
    </x:xf>
    <x:xf numFmtId="0" fontId="4" fillId="4" borderId="28" xfId="0" applyNumberFormat="1" applyFont="1" applyFill="1" applyBorder="1" applyAlignment="1">
      <x:alignment horizontal="center"/>
    </x:xf>
    <x:xf numFmtId="0" fontId="4" fillId="4" borderId="29" xfId="0" applyNumberFormat="1" applyFont="1" applyFill="1" applyBorder="1" applyAlignment="1">
      <x:alignment horizontal="center"/>
    </x:xf>
    <x:xf numFmtId="0" fontId="4" fillId="4" borderId="26" xfId="0" applyNumberFormat="1" applyFont="1" applyFill="1" applyBorder="1" applyAlignment="1">
      <x:alignment horizontal="center" vertical="center"/>
    </x:xf>
    <x:xf numFmtId="0" fontId="4" fillId="4" borderId="27" xfId="0" applyNumberFormat="1" applyFont="1" applyFill="1" applyBorder="1" applyAlignment="1">
      <x:alignment horizontal="center" vertical="center"/>
    </x:xf>
    <x:xf numFmtId="0" fontId="4" fillId="4" borderId="28" xfId="0" applyNumberFormat="1" applyFont="1" applyFill="1" applyBorder="1" applyAlignment="1">
      <x:alignment horizontal="center" vertical="center"/>
    </x:xf>
    <x:xf numFmtId="0" fontId="4" fillId="4" borderId="29" xfId="0" applyNumberFormat="1" applyFont="1" applyFill="1" applyBorder="1" applyAlignment="1">
      <x:alignment horizontal="center" vertical="center"/>
    </x:xf>
    <x:xf numFmtId="0" fontId="4" fillId="4" borderId="30" xfId="0" applyNumberFormat="1" applyFont="1" applyFill="1" applyBorder="1"/>
    <x:xf numFmtId="0" fontId="4" fillId="4" borderId="31" xfId="0" applyNumberFormat="1" applyFont="1" applyFill="1" applyBorder="1"/>
    <x:xf numFmtId="0" fontId="4" fillId="4" borderId="32" xfId="0" applyNumberFormat="1" applyFont="1" applyFill="1" applyBorder="1"/>
    <x:xf numFmtId="0" fontId="4" fillId="4" borderId="33" xfId="0" applyNumberFormat="1" applyFont="1" applyFill="1" applyBorder="1"/>
    <x:xf numFmtId="0" fontId="4" fillId="4" borderId="30" xfId="0" applyNumberFormat="1" applyFont="1" applyFill="1" applyBorder="1" applyAlignment="1">
      <x:alignment horizontal="center"/>
    </x:xf>
    <x:xf numFmtId="0" fontId="4" fillId="4" borderId="31" xfId="0" applyNumberFormat="1" applyFont="1" applyFill="1" applyBorder="1" applyAlignment="1">
      <x:alignment horizontal="center"/>
    </x:xf>
    <x:xf numFmtId="0" fontId="4" fillId="4" borderId="32" xfId="0" applyNumberFormat="1" applyFont="1" applyFill="1" applyBorder="1" applyAlignment="1">
      <x:alignment horizontal="center"/>
    </x:xf>
    <x:xf numFmtId="0" fontId="4" fillId="4" borderId="33" xfId="0" applyNumberFormat="1" applyFont="1" applyFill="1" applyBorder="1" applyAlignment="1">
      <x:alignment horizontal="center"/>
    </x:xf>
    <x:xf numFmtId="0" fontId="4" fillId="4" borderId="30" xfId="0" applyNumberFormat="1" applyFont="1" applyFill="1" applyBorder="1" applyAlignment="1">
      <x:alignment horizontal="center" vertical="center"/>
    </x:xf>
    <x:xf numFmtId="0" fontId="4" fillId="4" borderId="31" xfId="0" applyNumberFormat="1" applyFont="1" applyFill="1" applyBorder="1" applyAlignment="1">
      <x:alignment horizontal="center" vertical="center"/>
    </x:xf>
    <x:xf numFmtId="0" fontId="4" fillId="4" borderId="32" xfId="0" applyNumberFormat="1" applyFont="1" applyFill="1" applyBorder="1" applyAlignment="1">
      <x:alignment horizontal="center" vertical="center"/>
    </x:xf>
    <x:xf numFmtId="0" fontId="4" fillId="4" borderId="33" xfId="0" applyNumberFormat="1" applyFont="1" applyFill="1" applyBorder="1" applyAlignment="1">
      <x:alignment horizontal="center" vertical="center"/>
    </x:xf>
    <x:xf numFmtId="201" fontId="4" fillId="4" borderId="10" xfId="0" applyNumberFormat="1" applyFont="1" applyFill="1" applyBorder="1" applyAlignment="1">
      <x:alignment horizontal="center" vertical="center"/>
    </x:xf>
    <x:xf numFmtId="201" fontId="4" fillId="4" borderId="11" xfId="0" applyNumberFormat="1" applyFont="1" applyFill="1" applyBorder="1" applyAlignment="1">
      <x:alignment horizontal="center" vertical="center"/>
    </x:xf>
    <x:xf numFmtId="201" fontId="4" fillId="4" borderId="18" xfId="0" applyNumberFormat="1" applyFont="1" applyFill="1" applyBorder="1" applyAlignment="1">
      <x:alignment horizontal="center" vertical="center"/>
    </x:xf>
    <x:xf numFmtId="201" fontId="4" fillId="4" borderId="19" xfId="0" applyNumberFormat="1" applyFont="1" applyFill="1" applyBorder="1" applyAlignment="1">
      <x:alignment horizontal="center" vertical="center"/>
    </x:xf>
    <x:xf numFmtId="201" fontId="4" fillId="4" borderId="26" xfId="0" applyNumberFormat="1" applyFont="1" applyFill="1" applyBorder="1" applyAlignment="1">
      <x:alignment horizontal="center" vertical="center"/>
    </x:xf>
    <x:xf numFmtId="201" fontId="4" fillId="4" borderId="27" xfId="0" applyNumberFormat="1" applyFont="1" applyFill="1" applyBorder="1" applyAlignment="1">
      <x:alignment horizontal="center" vertical="center"/>
    </x:xf>
    <x:xf numFmtId="201" fontId="4" fillId="4" borderId="14" xfId="0" applyNumberFormat="1" applyFont="1" applyFill="1" applyBorder="1" applyAlignment="1">
      <x:alignment horizontal="center" vertical="center"/>
    </x:xf>
    <x:xf numFmtId="201" fontId="4" fillId="4" borderId="15" xfId="0" applyNumberFormat="1" applyFont="1" applyFill="1" applyBorder="1" applyAlignment="1">
      <x:alignment horizontal="center" vertical="center"/>
    </x:xf>
    <x:xf numFmtId="201" fontId="4" fillId="4" borderId="22" xfId="0" applyNumberFormat="1" applyFont="1" applyFill="1" applyBorder="1" applyAlignment="1">
      <x:alignment horizontal="center" vertical="center"/>
    </x:xf>
    <x:xf numFmtId="201" fontId="4" fillId="4" borderId="23" xfId="0" applyNumberFormat="1" applyFont="1" applyFill="1" applyBorder="1" applyAlignment="1">
      <x:alignment horizontal="center" vertical="center"/>
    </x:xf>
    <x:xf numFmtId="201" fontId="4" fillId="4" borderId="30" xfId="0" applyNumberFormat="1" applyFont="1" applyFill="1" applyBorder="1" applyAlignment="1">
      <x:alignment horizontal="center" vertical="center"/>
    </x:xf>
    <x:xf numFmtId="201" fontId="4" fillId="4" borderId="31" xfId="0" applyNumberFormat="1" applyFont="1" applyFill="1" applyBorder="1" applyAlignment="1">
      <x:alignment horizontal="center" vertical="center"/>
    </x:xf>
    <x:xf numFmtId="202" fontId="4" fillId="4" borderId="18" xfId="0" applyNumberFormat="1" applyFont="1" applyFill="1" applyBorder="1" applyAlignment="1">
      <x:alignment horizontal="center" vertical="center"/>
    </x:xf>
    <x:xf numFmtId="202" fontId="4" fillId="4" borderId="19" xfId="0" applyNumberFormat="1" applyFont="1" applyFill="1" applyBorder="1" applyAlignment="1">
      <x:alignment horizontal="center" vertical="center"/>
    </x:xf>
    <x:xf numFmtId="202" fontId="4" fillId="4" borderId="20" xfId="0" applyNumberFormat="1" applyFont="1" applyFill="1" applyBorder="1" applyAlignment="1">
      <x:alignment horizontal="center" vertical="center"/>
    </x:xf>
    <x:xf numFmtId="202" fontId="4" fillId="4" borderId="21" xfId="0" applyNumberFormat="1" applyFont="1" applyFill="1" applyBorder="1" applyAlignment="1">
      <x:alignment horizontal="center" vertical="center"/>
    </x:xf>
    <x:xf numFmtId="202" fontId="4" fillId="4" borderId="22" xfId="0" applyNumberFormat="1" applyFont="1" applyFill="1" applyBorder="1" applyAlignment="1">
      <x:alignment horizontal="center" vertical="center"/>
    </x:xf>
    <x:xf numFmtId="202" fontId="4" fillId="4" borderId="23" xfId="0" applyNumberFormat="1" applyFont="1" applyFill="1" applyBorder="1" applyAlignment="1">
      <x:alignment horizontal="center" vertical="center"/>
    </x:xf>
    <x:xf numFmtId="202" fontId="4" fillId="4" borderId="24" xfId="0" applyNumberFormat="1" applyFont="1" applyFill="1" applyBorder="1" applyAlignment="1">
      <x:alignment horizontal="center" vertical="center"/>
    </x:xf>
    <x:xf numFmtId="202" fontId="4" fillId="4" borderId="25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5"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932ee24cc042de" /><Relationship Type="http://schemas.openxmlformats.org/officeDocument/2006/relationships/theme" Target="/xl/theme/theme1.xml" Id="Rb27b6182e36e4bd9" /><Relationship Type="http://schemas.openxmlformats.org/officeDocument/2006/relationships/sharedStrings" Target="/xl/sharedStrings.xml" Id="R6a037bd5db6b4f91" /><Relationship Type="http://schemas.openxmlformats.org/officeDocument/2006/relationships/worksheet" Target="/xl/worksheets/sheet1.xml" Id="Rbd193aea42d348a9" /><Relationship Type="http://schemas.openxmlformats.org/officeDocument/2006/relationships/worksheet" Target="/xl/worksheets/sheet2.xml" Id="R88454220d8e74d93" /><Relationship Type="http://schemas.openxmlformats.org/officeDocument/2006/relationships/worksheet" Target="/xl/worksheets/sheet3.xml" Id="Ra921102a258446f0" /><Relationship Type="http://schemas.openxmlformats.org/officeDocument/2006/relationships/worksheet" Target="/xl/worksheets/sheet4.xml" Id="R6d1db969c2a24d43" /><Relationship Type="http://schemas.openxmlformats.org/officeDocument/2006/relationships/worksheet" Target="/xl/worksheets/sheet5.xml" Id="Rbadd8043143543f1" /><Relationship Type="http://schemas.openxmlformats.org/officeDocument/2006/relationships/worksheet" Target="/xl/worksheets/sheet6.xml" Id="R2e1198d939cd46a6" /><Relationship Type="http://schemas.openxmlformats.org/officeDocument/2006/relationships/worksheet" Target="/xl/worksheets/sheet7.xml" Id="R741ccc65fc6445b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85d44a010394fc6" /><Relationship Type="http://schemas.openxmlformats.org/officeDocument/2006/relationships/chart" Target="/xl/drawings/charts/chart2.xml" Id="Ra5c7edad7a304bee" /><Relationship Type="http://schemas.openxmlformats.org/officeDocument/2006/relationships/chart" Target="/xl/drawings/charts/chart3.xml" Id="R3c5588a1c524453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Comparativo das Duas Semanas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Semana Anterior</c:v>
          </c:tx>
          <c:cat>
            <c:strRef>
              <c:f>'Dashboard_V5'!$A$11:$A$15</c:f>
              <c:strCache>
                <c:ptCount val="0"/>
              </c:strCache>
            </c:strRef>
          </c:cat>
          <c:val>
            <c:numRef>
              <c:f>'Dashboard_V5'!$B$11:$B$15</c:f>
              <c:numCache>
                <c:formatCode>#,##0.00 "AOA"</c:formatCode>
                <c:ptCount val="0"/>
              </c:numCache>
            </c:numRef>
          </c:val>
        </c:ser>
        <c:ser>
          <c:idx val="1"/>
          <c:order val="1"/>
          <c:tx>
            <c:v>Semana Finda</c:v>
          </c:tx>
          <c:cat>
            <c:strRef>
              <c:f>'Dashboard_V5'!$A$11:$A$15</c:f>
              <c:strCache>
                <c:ptCount val="0"/>
              </c:strCache>
            </c:strRef>
          </c:cat>
          <c:val>
            <c:numRef>
              <c:f>'Dashboard_V5'!$C$11:$C$15</c:f>
              <c:numCache>
                <c:formatCode>#,##0.00 "AOA"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Pipeline por Estado – Semana Finda</a:t>
            </a:r>
          </a:p>
        </c:rich>
      </c:tx>
      <c:overlay val="0"/>
    </c:title>
    <c:autoTitleDeleted val="0"/>
    <c:plotArea>
      <c:layout/>
      <c:pieChart>
        <c:ser>
          <c:idx val="0"/>
          <c:order val="0"/>
          <c:tx>
            <c:v>Valor</c:v>
          </c:tx>
          <c:cat>
            <c:strRef>
              <c:f>'Dashboard_V5'!$A$19:$A$23</c:f>
              <c:strCache>
                <c:ptCount val="0"/>
              </c:strCache>
            </c:strRef>
          </c:cat>
          <c:val>
            <c:numRef>
              <c:f>'Dashboard_V5'!$B$19:$B$23</c:f>
              <c:numCache>
                <c:formatCode>#,##0.00 "AOA"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Chart>
    </c:plotArea>
    <c:legend>
      <c:legendPos val="r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Meta Semanal por Comercial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Meta Semanal</c:v>
          </c:tx>
          <c:cat>
            <c:strRef>
              <c:f>'Dashboard_V5'!$A$27:$A$33</c:f>
              <c:strCache>
                <c:ptCount val="0"/>
              </c:strCache>
            </c:strRef>
          </c:cat>
          <c:val>
            <c:numRef>
              <c:f>'Dashboard_V5'!$B$27:$B$33</c:f>
              <c:numCache>
                <c:formatCode>#,##0.00 "AOA"</c:formatCode>
                <c:ptCount val="0"/>
              </c:numCache>
            </c:numRef>
          </c:val>
        </c:ser>
        <c:ser>
          <c:idx val="1"/>
          <c:order val="1"/>
          <c:tx>
            <c:v>Aprovado</c:v>
          </c:tx>
          <c:cat>
            <c:strRef>
              <c:f>'Dashboard_V5'!$A$27:$A$33</c:f>
              <c:strCache>
                <c:ptCount val="0"/>
              </c:strCache>
            </c:strRef>
          </c:cat>
          <c:val>
            <c:numRef>
              <c:f>'Dashboard_V5'!$C$27:$C$33</c:f>
              <c:numCache>
                <c:formatCode>#,##0.00 "AOA"</c:formatCode>
                <c:ptCount val="0"/>
              </c:numCache>
            </c:numRef>
          </c:val>
        </c:ser>
        <c:ser>
          <c:idx val="2"/>
          <c:order val="2"/>
          <c:tx>
            <c:v>% Meta</c:v>
          </c:tx>
          <c:cat>
            <c:strRef>
              <c:f>'Dashboard_V5'!$A$27:$A$33</c:f>
              <c:strCache>
                <c:ptCount val="0"/>
              </c:strCache>
            </c:strRef>
          </c:cat>
          <c:val>
            <c:numRef>
              <c:f>'Dashboard_V5'!$D$27:$D$33</c:f>
              <c:numCache>
                <c:formatCode>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9</xdr:row>
      <xdr:rowOff>0</xdr:rowOff>
    </xdr:from>
    <xdr:to>
      <xdr:col>12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85d44a010394fc6"/>
        </a:graphicData>
      </a:graphic>
    </xdr:graphicFrame>
    <xdr:clientData/>
  </xdr:twoCellAnchor>
  <xdr:twoCellAnchor>
    <xdr:from>
      <xdr:col>4</xdr:col>
      <xdr:colOff>0</xdr:colOff>
      <xdr:row>24</xdr:row>
      <xdr:rowOff>0</xdr:rowOff>
    </xdr:from>
    <xdr:to>
      <xdr:col>8</xdr:col>
      <xdr:colOff>0</xdr:colOff>
      <xdr:row>38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5c7edad7a304bee"/>
        </a:graphicData>
      </a:graphic>
    </xdr:graphicFrame>
    <xdr:clientData/>
  </xdr:twoCellAnchor>
  <xdr:twoCellAnchor>
    <xdr:from>
      <xdr:col>8</xdr:col>
      <xdr:colOff>0</xdr:colOff>
      <xdr:row>24</xdr:row>
      <xdr:rowOff>0</xdr:rowOff>
    </xdr:from>
    <xdr:to>
      <xdr:col>12</xdr:col>
      <xdr:colOff>0</xdr:colOff>
      <xdr:row>41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c5588a1c524453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B_BaseV5" displayName="TB_BaseV5" ref="A1:V501" headerRowCount="1">
  <x:tableColumns count="22">
    <x:tableColumn id="1" name="Semana"/>
    <x:tableColumn id="2" name="ID"/>
    <x:tableColumn id="3" name="Data envio"/>
    <x:tableColumn id="4" name="Cliente"/>
    <x:tableColumn id="5" name="Serviço"/>
    <x:tableColumn id="6" name="Estado proposta"/>
    <x:tableColumn id="7" name="Valor proposta"/>
    <x:tableColumn id="8" name="Valor aprovado"/>
    <x:tableColumn id="9" name="Valor perdido"/>
    <x:tableColumn id="10" name="Probabilidade"/>
    <x:tableColumn id="11" name="Gestor comercial"/>
    <x:tableColumn id="12" name="Próxima acção"/>
    <x:tableColumn id="13" name="Próximo contacto"/>
    <x:tableColumn id="14" name="Observações"/>
    <x:tableColumn id="15" name="Dias em aberto"/>
    <x:tableColumn id="16" name="Valor ponderado"/>
    <x:tableColumn id="17" name="Classe cliente"/>
    <x:tableColumn id="18" name="Prioridade"/>
    <x:tableColumn id="19" name="Estado CRM"/>
    <x:tableColumn id="20" name="Meta semanal"/>
    <x:tableColumn id="21" name="% Meta"/>
    <x:tableColumn id="22" name="Resultado acompanhament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ae32e117f424f0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db2f21273864e3e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9" hidden="0" customWidth="1"/>
    <x:col min="3" max="3" width="34" hidden="0" customWidth="1"/>
    <x:col min="4" max="4" width="38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>
      <x:c r="A1" s="32" t="str">
        <x:v>GPA ANGOLA – DASHBOARD COMERCIAL V5.0 SIMPLES E AUTOMATIZADO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</x:row>
    <x:row r="2">
      <x:c r="A2" s="32"/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</x:row>
    <x:row r="3">
      <x:c r="A3" s="42" t="str">
        <x:v>Comparativo correcto: 29 de Junho–03 de Julho vs 06–10 de Julho de 2026 | Metas da V7.0</x:v>
      </x:c>
      <x:c r="B3" s="42"/>
      <x:c r="C3" s="42"/>
      <x:c r="D3" s="42"/>
      <x:c r="E3" s="42"/>
      <x:c r="F3" s="42"/>
      <x:c r="G3" s="42"/>
      <x:c r="H3" s="42"/>
      <x:c r="I3" s="42"/>
      <x:c r="J3" s="42"/>
      <x:c r="K3" s="42"/>
      <x:c r="L3" s="42"/>
    </x:row>
    <x:row r="5">
      <x:c r="A5" s="49" t="str">
        <x:v>Propostas</x:v>
      </x:c>
      <x:c r="B5" s="49"/>
      <x:c r="C5" s="83" t="str">
        <x:v>Valor Total</x:v>
      </x:c>
      <x:c r="D5" s="83"/>
      <x:c r="E5" s="115" t="str">
        <x:v>Aprovado</x:v>
      </x:c>
      <x:c r="F5" s="115"/>
      <x:c r="G5" s="147" t="str">
        <x:v>Pipeline Aberto</x:v>
      </x:c>
      <x:c r="H5" s="147"/>
      <x:c r="I5" s="83" t="str">
        <x:v>Forecast</x:v>
      </x:c>
      <x:c r="J5" s="83"/>
      <x:c r="K5" s="115" t="str">
        <x:v>Conversão</x:v>
      </x:c>
      <x:c r="L5" s="115"/>
    </x:row>
    <x:row r="6">
      <x:c r="A6" s="62" t="n">
        <x:f>COUNTIF(Base_Duas_Semanas!$A$2:$A$501,"Semana Finda")</x:f>
        <x:v>31</x:v>
      </x:c>
      <x:c r="B6" s="63"/>
      <x:c r="C6" s="176" t="n">
        <x:f>SUMIF(Base_Duas_Semanas!$A$2:$A$501,"Semana Finda",Base_Duas_Semanas!$G$2:$G$501)</x:f>
        <x:v>157928265.88</x:v>
      </x:c>
      <x:c r="D6" s="177"/>
      <x:c r="E6" s="178" t="n">
        <x:f>SUMIF(Base_Duas_Semanas!$A$2:$A$501,"Semana Finda",Base_Duas_Semanas!$H$2:$H$501)</x:f>
        <x:v>19914950</x:v>
      </x:c>
      <x:c r="F6" s="179"/>
      <x:c r="G6" s="180" t="n">
        <x:f>SUMIFS(Base_Duas_Semanas!$G$2:$G$501,Base_Duas_Semanas!$A$2:$A$501,"Semana Finda",Base_Duas_Semanas!$S$2:$S$501,"Aberto")</x:f>
        <x:v>126492965.88</x:v>
      </x:c>
      <x:c r="H6" s="181"/>
      <x:c r="I6" s="176" t="n">
        <x:f>SUMIF(Base_Duas_Semanas!$A$2:$A$501,"Semana Finda",Base_Duas_Semanas!$P$2:$P$501)</x:f>
        <x:v>76353142.03999999</x:v>
      </x:c>
      <x:c r="J6" s="177"/>
      <x:c r="K6" s="188" t="n">
        <x:f>IFERROR(E6/C6,0)</x:f>
        <x:v>0.12610123899626777</x:v>
      </x:c>
      <x:c r="L6" s="189"/>
    </x:row>
    <x:row r="7">
      <x:c r="A7" s="64"/>
      <x:c r="B7" s="65"/>
      <x:c r="C7" s="98"/>
      <x:c r="D7" s="99"/>
      <x:c r="E7" s="130"/>
      <x:c r="F7" s="131"/>
      <x:c r="G7" s="162"/>
      <x:c r="H7" s="163"/>
      <x:c r="I7" s="98"/>
      <x:c r="J7" s="99"/>
      <x:c r="K7" s="190"/>
      <x:c r="L7" s="191"/>
    </x:row>
    <x:row r="10">
      <x:c r="A10" s="6" t="str">
        <x:v>Indicador</x:v>
      </x:c>
      <x:c r="B10" s="6" t="str">
        <x:v>29 Jun–03 Jul</x:v>
      </x:c>
      <x:c r="C10" s="6" t="str">
        <x:v>06–10 Jul</x:v>
      </x:c>
    </x:row>
    <x:row r="11">
      <x:c r="A11" t="str">
        <x:v>Valor total</x:v>
      </x:c>
      <x:c r="B11" s="14" t="n">
        <x:f>Comparativo!B6</x:f>
        <x:v>124268576.96000001</x:v>
      </x:c>
      <x:c r="C11" s="14" t="n">
        <x:f>Comparativo!C6</x:f>
        <x:v>157928265.88</x:v>
      </x:c>
    </x:row>
    <x:row r="12">
      <x:c r="A12" t="str">
        <x:v>Aprovado</x:v>
      </x:c>
      <x:c r="B12" s="14" t="n">
        <x:f>Comparativo!B7</x:f>
        <x:v>52451295</x:v>
      </x:c>
      <x:c r="C12" s="14" t="n">
        <x:f>Comparativo!C7</x:f>
        <x:v>19914950</x:v>
      </x:c>
    </x:row>
    <x:row r="13">
      <x:c r="A13" t="str">
        <x:v>Perdido</x:v>
      </x:c>
      <x:c r="B13" s="14" t="n">
        <x:f>Comparativo!B8</x:f>
        <x:v>0</x:v>
      </x:c>
      <x:c r="C13" s="14" t="n">
        <x:f>Comparativo!C8</x:f>
        <x:v>11779700</x:v>
      </x:c>
    </x:row>
    <x:row r="14">
      <x:c r="A14" t="str">
        <x:v>Forecast</x:v>
      </x:c>
      <x:c r="B14" s="14" t="n">
        <x:f>Comparativo!B9</x:f>
        <x:v>86566959.644</x:v>
      </x:c>
      <x:c r="C14" s="14" t="n">
        <x:f>Comparativo!C9</x:f>
        <x:v>76353142.03999999</x:v>
      </x:c>
    </x:row>
    <x:row r="15">
      <x:c r="A15" t="str">
        <x:v>Propostas</x:v>
      </x:c>
      <x:c r="B15" t="n">
        <x:f>Comparativo!B5</x:f>
        <x:v>30</x:v>
      </x:c>
      <x:c r="C15" t="n">
        <x:f>Comparativo!C5</x:f>
        <x:v>31</x:v>
      </x:c>
    </x:row>
    <x:row r="18">
      <x:c r="A18" s="6" t="str">
        <x:v>Estado</x:v>
      </x:c>
      <x:c r="B18" s="6" t="str">
        <x:v>Valor</x:v>
      </x:c>
    </x:row>
    <x:row r="19">
      <x:c r="A19" t="str">
        <x:v>Proposta enviada</x:v>
      </x:c>
      <x:c r="B19" s="14" t="n">
        <x:f>SUMIFS(Base_Duas_Semanas!$G$2:$G$501,Base_Duas_Semanas!$A$2:$A$501,"Semana Finda",Base_Duas_Semanas!$F$2:$F$501,A19)</x:f>
        <x:v>98292111</x:v>
      </x:c>
    </x:row>
    <x:row r="20">
      <x:c r="A20" t="str">
        <x:v>Proposta em negociação</x:v>
      </x:c>
      <x:c r="B20" s="14" t="n">
        <x:f>SUMIFS(Base_Duas_Semanas!$G$2:$G$501,Base_Duas_Semanas!$A$2:$A$501,"Semana Finda",Base_Duas_Semanas!$F$2:$F$501,A20)</x:f>
        <x:v>27941504.880000003</x:v>
      </x:c>
    </x:row>
    <x:row r="21">
      <x:c r="A21" t="str">
        <x:v>Proposta aprovada</x:v>
      </x:c>
      <x:c r="B21" s="14" t="n">
        <x:f>SUMIFS(Base_Duas_Semanas!$G$2:$G$501,Base_Duas_Semanas!$A$2:$A$501,"Semana Finda",Base_Duas_Semanas!$F$2:$F$501,A21)</x:f>
        <x:v>19655600</x:v>
      </x:c>
    </x:row>
    <x:row r="22">
      <x:c r="A22" t="str">
        <x:v>Produção / Entrega</x:v>
      </x:c>
      <x:c r="B22" s="14" t="n">
        <x:f>SUMIFS(Base_Duas_Semanas!$G$2:$G$501,Base_Duas_Semanas!$A$2:$A$501,"Semana Finda",Base_Duas_Semanas!$F$2:$F$501,A22)</x:f>
        <x:v>259350</x:v>
      </x:c>
    </x:row>
    <x:row r="23">
      <x:c r="A23" t="str">
        <x:v>Perdida</x:v>
      </x:c>
      <x:c r="B23" s="14" t="n">
        <x:f>SUMIFS(Base_Duas_Semanas!$G$2:$G$501,Base_Duas_Semanas!$A$2:$A$501,"Semana Finda",Base_Duas_Semanas!$F$2:$F$501,A23)</x:f>
        <x:v>11779700</x:v>
      </x:c>
    </x:row>
    <x:row r="26">
      <x:c r="A26" s="6" t="str">
        <x:v>Comercial</x:v>
      </x:c>
      <x:c r="B26" s="6" t="str">
        <x:v>Meta Semanal</x:v>
      </x:c>
      <x:c r="C26" s="6" t="str">
        <x:v>Aprovado</x:v>
      </x:c>
      <x:c r="D26" s="6" t="str">
        <x:v>% Meta</x:v>
      </x:c>
    </x:row>
    <x:row r="27">
      <x:c r="A27" t="str">
        <x:v>Amélia Cassinda</x:v>
      </x:c>
      <x:c r="B27" s="14" t="n">
        <x:f>VLOOKUP(A27,Metas_Performance!$A$5:$C$11,3,FALSE)</x:f>
        <x:v>6250000</x:v>
      </x:c>
      <x:c r="C27" s="14" t="n">
        <x:f>SUMIFS(Base_Duas_Semanas!$H$2:$H$501,Base_Duas_Semanas!$A$2:$A$501,"Semana Finda",Base_Duas_Semanas!$K$2:$K$501,A27)</x:f>
        <x:v>2106150</x:v>
      </x:c>
      <x:c r="D27" s="16" t="n">
        <x:f>IFERROR(C27/B27,0)</x:f>
        <x:v>0.336984</x:v>
      </x:c>
    </x:row>
    <x:row r="28">
      <x:c r="A28" t="str">
        <x:v>David Guedes</x:v>
      </x:c>
      <x:c r="B28" s="14" t="n">
        <x:f>VLOOKUP(A28,Metas_Performance!$A$5:$C$11,3,FALSE)</x:f>
        <x:v>3750000</x:v>
      </x:c>
      <x:c r="C28" s="14" t="n">
        <x:f>SUMIFS(Base_Duas_Semanas!$H$2:$H$501,Base_Duas_Semanas!$A$2:$A$501,"Semana Finda",Base_Duas_Semanas!$K$2:$K$501,A28)</x:f>
        <x:v>3024990</x:v>
      </x:c>
      <x:c r="D28" s="16" t="n">
        <x:f>IFERROR(C28/B28,0)</x:f>
        <x:v>0.806664</x:v>
      </x:c>
    </x:row>
    <x:row r="29">
      <x:c r="A29" t="str">
        <x:v>Fernando Leite</x:v>
      </x:c>
      <x:c r="B29" s="14" t="n">
        <x:f>VLOOKUP(A29,Metas_Performance!$A$5:$C$11,3,FALSE)</x:f>
        <x:v>2500000</x:v>
      </x:c>
      <x:c r="C29" s="14" t="n">
        <x:f>SUMIFS(Base_Duas_Semanas!$H$2:$H$501,Base_Duas_Semanas!$A$2:$A$501,"Semana Finda",Base_Duas_Semanas!$K$2:$K$501,A29)</x:f>
        <x:v>930240</x:v>
      </x:c>
      <x:c r="D29" s="16" t="n">
        <x:f>IFERROR(C29/B29,0)</x:f>
        <x:v>0.372096</x:v>
      </x:c>
    </x:row>
    <x:row r="30">
      <x:c r="A30" t="str">
        <x:v>José Neto</x:v>
      </x:c>
      <x:c r="B30" s="14" t="n">
        <x:f>VLOOKUP(A30,Metas_Performance!$A$5:$C$11,3,FALSE)</x:f>
        <x:v>5000000</x:v>
      </x:c>
      <x:c r="C30" s="14" t="n">
        <x:f>SUMIFS(Base_Duas_Semanas!$H$2:$H$501,Base_Duas_Semanas!$A$2:$A$501,"Semana Finda",Base_Duas_Semanas!$K$2:$K$501,A30)</x:f>
        <x:v>0</x:v>
      </x:c>
      <x:c r="D30" s="16" t="n">
        <x:f>IFERROR(C30/B30,0)</x:f>
        <x:v>0</x:v>
      </x:c>
    </x:row>
    <x:row r="31">
      <x:c r="A31" t="str">
        <x:v>Marta de Oliveira</x:v>
      </x:c>
      <x:c r="B31" s="14" t="n">
        <x:f>VLOOKUP(A31,Metas_Performance!$A$5:$C$11,3,FALSE)</x:f>
        <x:v>6250000</x:v>
      </x:c>
      <x:c r="C31" s="14" t="n">
        <x:f>SUMIFS(Base_Duas_Semanas!$H$2:$H$501,Base_Duas_Semanas!$A$2:$A$501,"Semana Finda",Base_Duas_Semanas!$K$2:$K$501,A31)</x:f>
        <x:v>10727120</x:v>
      </x:c>
      <x:c r="D31" s="16" t="n">
        <x:f>IFERROR(C31/B31,0)</x:f>
        <x:v>1.7163392</x:v>
      </x:c>
    </x:row>
    <x:row r="32">
      <x:c r="A32" t="str">
        <x:v>Ilídio Pedro</x:v>
      </x:c>
      <x:c r="B32" s="14" t="n">
        <x:f>VLOOKUP(A32,Metas_Performance!$A$5:$C$11,3,FALSE)</x:f>
        <x:v>2500000</x:v>
      </x:c>
      <x:c r="C32" s="14" t="n">
        <x:f>SUMIFS(Base_Duas_Semanas!$H$2:$H$501,Base_Duas_Semanas!$A$2:$A$501,"Semana Finda",Base_Duas_Semanas!$K$2:$K$501,A32)</x:f>
        <x:v>2109000</x:v>
      </x:c>
      <x:c r="D32" s="16" t="n">
        <x:f>IFERROR(C32/B32,0)</x:f>
        <x:v>0.8436</x:v>
      </x:c>
    </x:row>
    <x:row r="33">
      <x:c r="A33" t="str">
        <x:v>Luiza Baltazar</x:v>
      </x:c>
      <x:c r="B33" s="14" t="n">
        <x:f>VLOOKUP(A33,Metas_Performance!$A$5:$C$11,3,FALSE)</x:f>
        <x:v>7500000</x:v>
      </x:c>
      <x:c r="C33" s="14" t="n">
        <x:f>SUMIFS(Base_Duas_Semanas!$H$2:$H$501,Base_Duas_Semanas!$A$2:$A$501,"Semana Finda",Base_Duas_Semanas!$K$2:$K$501,A33)</x:f>
        <x:v>1017450</x:v>
      </x:c>
      <x:c r="D33" s="16" t="n">
        <x:f>IFERROR(C33/B33,0)</x:f>
        <x:v>0.13566</x:v>
      </x:c>
    </x:row>
    <x:row r="41">
      <x:c r="A41" s="6" t="str">
        <x:v>RECOMENDAÇÕES DE CRM – PRÓXIMA SEMANA</x:v>
      </x:c>
      <x:c r="B41" s="6"/>
      <x:c r="C41" s="6"/>
      <x:c r="D41" s="6"/>
    </x:row>
    <x:row r="42">
      <x:c r="A42" s="20" t="str">
        <x:v>1</x:v>
      </x:c>
      <x:c r="B42" s="20" t="str">
        <x:v>Fecho prioritário</x:v>
      </x:c>
      <x:c r="C42" s="20" t="str">
        <x:v>Negociações de prioridade Alta e propostas ≥ 10 M AOA</x:v>
      </x:c>
      <x:c r="D42" s="20" t="str">
        <x:v>Contacto directo ao decisor em 48 horas</x:v>
      </x:c>
    </x:row>
    <x:row r="43">
      <x:c r="A43" s="20" t="str">
        <x:v>2</x:v>
      </x:c>
      <x:c r="B43" s="20" t="str">
        <x:v>Recuperação</x:v>
      </x:c>
      <x:c r="C43" s="20" t="str">
        <x:v>Propostas abertas com maior antiguidade</x:v>
      </x:c>
      <x:c r="D43" s="20" t="str">
        <x:v>Solicitar decisão formal ou rever condições</x:v>
      </x:c>
    </x:row>
    <x:row r="44">
      <x:c r="A44" s="20" t="str">
        <x:v>3</x:v>
      </x:c>
      <x:c r="B44" s="20" t="str">
        <x:v>Produção e entrega</x:v>
      </x:c>
      <x:c r="C44" s="20" t="str">
        <x:v>Processos aprovados</x:v>
      </x:c>
      <x:c r="D44" s="20" t="str">
        <x:v>Confirmar artes, produção, entrega e facturação</x:v>
      </x:c>
    </x:row>
    <x:row r="45">
      <x:c r="A45" s="20" t="str">
        <x:v>4</x:v>
      </x:c>
      <x:c r="B45" s="20" t="str">
        <x:v>Gestão da equipa</x:v>
      </x:c>
      <x:c r="C45" s="20" t="str">
        <x:v>Comerciais abaixo de 60% da meta</x:v>
      </x:c>
      <x:c r="D45" s="20" t="str">
        <x:v>Plano diário de contactos e apoio do Director Comercial</x:v>
      </x:c>
    </x:row>
    <x:row r="46">
      <x:c r="A46" s="20" t="str">
        <x:v>5</x:v>
      </x:c>
      <x:c r="B46" s="20" t="str">
        <x:v>Controlo</x:v>
      </x:c>
      <x:c r="C46" s="20" t="str">
        <x:v>CRM_Proxima_Semana</x:v>
      </x:c>
      <x:c r="D46" s="20" t="str">
        <x:v>Actualizar acompanhamento: Pendente, Em curso, Concluído ou Reagendado</x:v>
      </x:c>
    </x:row>
  </x:sheetData>
  <x:mergeCells>
    <x:mergeCell ref="A1:L2"/>
    <x:mergeCell ref="A3:L3"/>
    <x:mergeCell ref="A5:B5"/>
    <x:mergeCell ref="A6:B7"/>
    <x:mergeCell ref="C5:D5"/>
    <x:mergeCell ref="C6:D7"/>
    <x:mergeCell ref="E5:F5"/>
    <x:mergeCell ref="E6:F7"/>
    <x:mergeCell ref="G5:H5"/>
    <x:mergeCell ref="G6:H7"/>
    <x:mergeCell ref="I5:J5"/>
    <x:mergeCell ref="I6:J7"/>
    <x:mergeCell ref="K5:L5"/>
    <x:mergeCell ref="K6:L7"/>
    <x:mergeCell ref="A41:D41"/>
  </x:mergeCells>
  <x:pageMargins left="0.7" right="0.7" top="0.75" bottom="0.75" header="0.3" footer="0.3"/>
  <x:drawing xmlns:r="http://schemas.openxmlformats.org/officeDocument/2006/relationships" r:id="Raae32e117f424f06"/>
</x:worksheet>
</file>

<file path=xl/worksheets/sheet2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8" hidden="0" customWidth="1"/>
    <x:col min="3" max="3" width="12" hidden="0" customWidth="1"/>
    <x:col min="4" max="4" width="22" hidden="0" customWidth="1"/>
    <x:col min="5" max="5" width="34" hidden="0" customWidth="1"/>
    <x:col min="6" max="6" width="24" hidden="0" customWidth="1"/>
    <x:col min="7" max="7" width="17" hidden="0" customWidth="1"/>
    <x:col min="8" max="8" width="17" hidden="0" customWidth="1"/>
    <x:col min="9" max="9" width="17" hidden="0" customWidth="1"/>
    <x:col min="10" max="10" width="12" hidden="0" customWidth="1"/>
    <x:col min="11" max="11" width="20" hidden="0" customWidth="1"/>
    <x:col min="12" max="12" width="38" hidden="0" customWidth="1"/>
    <x:col min="13" max="13" width="14" hidden="0" customWidth="1"/>
    <x:col min="14" max="14" width="38" hidden="0" customWidth="1"/>
    <x:col min="15" max="15" width="15" hidden="0" customWidth="1"/>
    <x:col min="16" max="16" width="15" hidden="0" customWidth="1"/>
    <x:col min="17" max="17" width="14" hidden="0" customWidth="1"/>
    <x:col min="18" max="18" width="14" hidden="0" customWidth="1"/>
    <x:col min="19" max="19" width="14" hidden="0" customWidth="1"/>
    <x:col min="20" max="20" width="15" hidden="0" customWidth="1"/>
    <x:col min="21" max="21" width="15" hidden="0" customWidth="1"/>
    <x:col min="22" max="22" width="18" hidden="0" customWidth="1"/>
  </x:cols>
  <x:sheetData>
    <x:row r="1">
      <x:c r="A1" s="6" t="str">
        <x:v>Semana</x:v>
      </x:c>
      <x:c r="B1" s="6" t="str">
        <x:v>ID</x:v>
      </x:c>
      <x:c r="C1" s="6" t="str">
        <x:v>Data envio</x:v>
      </x:c>
      <x:c r="D1" s="6" t="str">
        <x:v>Cliente</x:v>
      </x:c>
      <x:c r="E1" s="6" t="str">
        <x:v>Serviço</x:v>
      </x:c>
      <x:c r="F1" s="6" t="str">
        <x:v>Estado proposta</x:v>
      </x:c>
      <x:c r="G1" s="6" t="str">
        <x:v>Valor proposta</x:v>
      </x:c>
      <x:c r="H1" s="6" t="str">
        <x:v>Valor aprovado</x:v>
      </x:c>
      <x:c r="I1" s="6" t="str">
        <x:v>Valor perdido</x:v>
      </x:c>
      <x:c r="J1" s="6" t="str">
        <x:v>Probabilidade</x:v>
      </x:c>
      <x:c r="K1" s="6" t="str">
        <x:v>Gestor comercial</x:v>
      </x:c>
      <x:c r="L1" s="6" t="str">
        <x:v>Próxima acção</x:v>
      </x:c>
      <x:c r="M1" s="6" t="str">
        <x:v>Próximo contacto</x:v>
      </x:c>
      <x:c r="N1" s="6" t="str">
        <x:v>Observações</x:v>
      </x:c>
      <x:c r="O1" s="6" t="str">
        <x:v>Dias em aberto</x:v>
      </x:c>
      <x:c r="P1" s="6" t="str">
        <x:v>Valor ponderado</x:v>
      </x:c>
      <x:c r="Q1" s="6" t="str">
        <x:v>Classe cliente</x:v>
      </x:c>
      <x:c r="R1" s="6" t="str">
        <x:v>Prioridade</x:v>
      </x:c>
      <x:c r="S1" s="6" t="str">
        <x:v>Estado CRM</x:v>
      </x:c>
      <x:c r="T1" s="6" t="str">
        <x:v>Meta semanal</x:v>
      </x:c>
      <x:c r="U1" s="6" t="str">
        <x:v>% Meta</x:v>
      </x:c>
      <x:c r="V1" s="6" t="str">
        <x:v>Resultado acompanhamento</x:v>
      </x:c>
    </x:row>
    <x:row r="2">
      <x:c r="A2" s="20" t="str">
        <x:v>Semana Anterior</x:v>
      </x:c>
      <x:c r="B2" s="20" t="n">
        <x:v>1</x:v>
      </x:c>
      <x:c r="C2" s="21" t="n">
        <x:v>46202</x:v>
      </x:c>
      <x:c r="D2" s="20" t="str">
        <x:v>XPRINT</x:v>
      </x:c>
      <x:c r="E2" s="20" t="str">
        <x:v>Fornecimento de  Blocos e canetas</x:v>
      </x:c>
      <x:c r="F2" s="20" t="str">
        <x:v>Proposta aprovada</x:v>
      </x:c>
      <x:c r="G2" s="22" t="n">
        <x:v>1385100</x:v>
      </x:c>
      <x:c r="H2" s="22" t="n">
        <x:v>1385100</x:v>
      </x:c>
      <x:c r="I2" s="22" t="n">
        <x:v>0</x:v>
      </x:c>
      <x:c r="J2" s="23" t="n">
        <x:v>1</x:v>
      </x:c>
      <x:c r="K2" s="20" t="str">
        <x:v>Amélia Cassinda</x:v>
      </x:c>
      <x:c r="L2" s="20" t="str">
        <x:v>Entrega do material</x:v>
      </x:c>
      <x:c r="M2" s="21" t="n">
        <x:v>46209</x:v>
      </x:c>
      <x:c r="N2" s="20" t="str">
        <x:v>Ultimos acertos para dar incio a produção em massa</x:v>
      </x:c>
      <x:c r="O2" s="24" t="n">
        <x:v>5</x:v>
      </x:c>
      <x:c r="P2" s="22" t="n">
        <x:v>1385100</x:v>
      </x:c>
      <x:c r="Q2" s="20" t="str">
        <x:v>B</x:v>
      </x:c>
      <x:c r="R2" s="20" t="str">
        <x:v>Alta</x:v>
      </x:c>
      <x:c r="S2" s="20" t="str">
        <x:v>Fechado ganho</x:v>
      </x:c>
      <x:c r="T2" s="22" t="n">
        <x:v>6250000</x:v>
      </x:c>
      <x:c r="U2" s="23" t="n">
        <x:v>0.221616</x:v>
      </x:c>
      <x:c r="V2" s="20"/>
    </x:row>
    <x:row r="3">
      <x:c r="A3" s="20" t="str">
        <x:v>Semana Anterior</x:v>
      </x:c>
      <x:c r="B3" s="20" t="n">
        <x:v>2</x:v>
      </x:c>
      <x:c r="C3" s="21" t="n">
        <x:v>46199</x:v>
      </x:c>
      <x:c r="D3" s="20" t="str">
        <x:v>COSCAL, LDA</x:v>
      </x:c>
      <x:c r="E3" s="20" t="str">
        <x:v>Fornecimento de têxtil e brindes</x:v>
      </x:c>
      <x:c r="F3" s="20" t="str">
        <x:v>Proposta aprovada</x:v>
      </x:c>
      <x:c r="G3" s="22" t="n">
        <x:v>4646868</x:v>
      </x:c>
      <x:c r="H3" s="22" t="n">
        <x:v>4646868</x:v>
      </x:c>
      <x:c r="I3" s="22" t="n">
        <x:v>0</x:v>
      </x:c>
      <x:c r="J3" s="23" t="n">
        <x:v>1</x:v>
      </x:c>
      <x:c r="K3" s="20" t="str">
        <x:v>Amélia Cassinda</x:v>
      </x:c>
      <x:c r="L3" s="20" t="str">
        <x:v>Dar incio a produção</x:v>
      </x:c>
      <x:c r="M3" s="21" t="n">
        <x:v>46209</x:v>
      </x:c>
      <x:c r="N3" s="20" t="str">
        <x:v>No aguardo dos tamanhos dos têxteis e outras artes</x:v>
      </x:c>
      <x:c r="O3" s="24" t="n">
        <x:v>8</x:v>
      </x:c>
      <x:c r="P3" s="22" t="n">
        <x:v>4646868</x:v>
      </x:c>
      <x:c r="Q3" s="20" t="str">
        <x:v>C</x:v>
      </x:c>
      <x:c r="R3" s="20" t="str">
        <x:v>Média</x:v>
      </x:c>
      <x:c r="S3" s="20" t="str">
        <x:v>Fechado ganho</x:v>
      </x:c>
      <x:c r="T3" s="22" t="n">
        <x:v>6250000</x:v>
      </x:c>
      <x:c r="U3" s="23" t="n">
        <x:v>0.74349888</x:v>
      </x:c>
      <x:c r="V3" s="20"/>
    </x:row>
    <x:row r="4">
      <x:c r="A4" s="20" t="str">
        <x:v>Semana Anterior</x:v>
      </x:c>
      <x:c r="B4" s="20" t="n">
        <x:v>3</x:v>
      </x:c>
      <x:c r="C4" s="21" t="n">
        <x:v>46206</x:v>
      </x:c>
      <x:c r="D4" s="20" t="str">
        <x:v>BCGA</x:v>
      </x:c>
      <x:c r="E4" s="20" t="str">
        <x:v>Fornecimento de Fitas Tally</x:v>
      </x:c>
      <x:c r="F4" s="20" t="str">
        <x:v>Proposta enviada</x:v>
      </x:c>
      <x:c r="G4" s="22" t="n">
        <x:v>2684700</x:v>
      </x:c>
      <x:c r="H4" s="22" t="n">
        <x:v>0</x:v>
      </x:c>
      <x:c r="I4" s="22" t="n">
        <x:v>0</x:v>
      </x:c>
      <x:c r="J4" s="23" t="n">
        <x:v>0.4</x:v>
      </x:c>
      <x:c r="K4" s="20" t="str">
        <x:v>Amélia Cassinda</x:v>
      </x:c>
      <x:c r="L4" s="20" t="str">
        <x:v>Solicitar o ponto de situação da proposta</x:v>
      </x:c>
      <x:c r="M4" s="21" t="n">
        <x:v>46209</x:v>
      </x:c>
      <x:c r="N4" s="20" t="str">
        <x:v>Proposta remetida para validação</x:v>
      </x:c>
      <x:c r="O4" s="24" t="n">
        <x:v>1</x:v>
      </x:c>
      <x:c r="P4" s="22" t="n">
        <x:v>1073880</x:v>
      </x:c>
      <x:c r="Q4" s="20" t="str">
        <x:v>A</x:v>
      </x:c>
      <x:c r="R4" s="20" t="str">
        <x:v>Média</x:v>
      </x:c>
      <x:c r="S4" s="20" t="str">
        <x:v>Aberto</x:v>
      </x:c>
      <x:c r="T4" s="22" t="n">
        <x:v>6250000</x:v>
      </x:c>
      <x:c r="U4" s="23" t="n">
        <x:v>0</x:v>
      </x:c>
      <x:c r="V4" s="20"/>
    </x:row>
    <x:row r="5">
      <x:c r="A5" s="20" t="str">
        <x:v>Semana Anterior</x:v>
      </x:c>
      <x:c r="B5" s="20" t="n">
        <x:v>4</x:v>
      </x:c>
      <x:c r="C5" s="21" t="n">
        <x:v>46202</x:v>
      </x:c>
      <x:c r="D5" s="20" t="str">
        <x:v>PAY4ALL</x:v>
      </x:c>
      <x:c r="E5" s="20" t="str">
        <x:v>Fornecimento de Brindes para Filda</x:v>
      </x:c>
      <x:c r="F5" s="20" t="str">
        <x:v>Proposta em negociação</x:v>
      </x:c>
      <x:c r="G5" s="22" t="n">
        <x:v>3115050</x:v>
      </x:c>
      <x:c r="H5" s="22" t="n">
        <x:v>0</x:v>
      </x:c>
      <x:c r="I5" s="22" t="n">
        <x:v>0</x:v>
      </x:c>
      <x:c r="J5" s="23" t="n">
        <x:v>0.6</x:v>
      </x:c>
      <x:c r="K5" s="20" t="str">
        <x:v>Amélia Cassinda</x:v>
      </x:c>
      <x:c r="L5" s="20" t="str">
        <x:v>Solicitar o ponto de situação da proposta</x:v>
      </x:c>
      <x:c r="M5" s="21" t="n">
        <x:v>46209</x:v>
      </x:c>
      <x:c r="N5" s="20" t="str">
        <x:v>Proposta atualizada e enviada novamente para validação</x:v>
      </x:c>
      <x:c r="O5" s="24" t="n">
        <x:v>5</x:v>
      </x:c>
      <x:c r="P5" s="22" t="n">
        <x:v>1869030</x:v>
      </x:c>
      <x:c r="Q5" s="20" t="str">
        <x:v>A</x:v>
      </x:c>
      <x:c r="R5" s="20" t="str">
        <x:v>Normal</x:v>
      </x:c>
      <x:c r="S5" s="20" t="str">
        <x:v>Aberto</x:v>
      </x:c>
      <x:c r="T5" s="22" t="n">
        <x:v>6250000</x:v>
      </x:c>
      <x:c r="U5" s="23" t="n">
        <x:v>0</x:v>
      </x:c>
      <x:c r="V5" s="20"/>
    </x:row>
    <x:row r="6">
      <x:c r="A6" s="20" t="str">
        <x:v>Semana Anterior</x:v>
      </x:c>
      <x:c r="B6" s="20" t="n">
        <x:v>5</x:v>
      </x:c>
      <x:c r="C6" s="21" t="n">
        <x:v>46204</x:v>
      </x:c>
      <x:c r="D6" s="20" t="str">
        <x:v>ZAP</x:v>
      </x:c>
      <x:c r="E6" s="20" t="str">
        <x:v>Fornecimento de T-shirts</x:v>
      </x:c>
      <x:c r="F6" s="20" t="str">
        <x:v>Proposta aprovada</x:v>
      </x:c>
      <x:c r="G6" s="22" t="n">
        <x:v>21161250</x:v>
      </x:c>
      <x:c r="H6" s="22" t="n">
        <x:v>21161250</x:v>
      </x:c>
      <x:c r="I6" s="22" t="n">
        <x:v>0</x:v>
      </x:c>
      <x:c r="J6" s="23" t="n">
        <x:v>1</x:v>
      </x:c>
      <x:c r="K6" s="20" t="str">
        <x:v>Amélia Cassinda</x:v>
      </x:c>
      <x:c r="L6" s="20" t="str">
        <x:v>Compra do material</x:v>
      </x:c>
      <x:c r="M6" s="21" t="n">
        <x:v>46209</x:v>
      </x:c>
      <x:c r="N6" s="20" t="str">
        <x:v>No agurado das artes e dos tamanhos</x:v>
      </x:c>
      <x:c r="O6" s="24" t="n">
        <x:v>3</x:v>
      </x:c>
      <x:c r="P6" s="22" t="n">
        <x:v>21161250</x:v>
      </x:c>
      <x:c r="Q6" s="20" t="str">
        <x:v>A</x:v>
      </x:c>
      <x:c r="R6" s="20" t="str">
        <x:v>Alta</x:v>
      </x:c>
      <x:c r="S6" s="20" t="str">
        <x:v>Fechado ganho</x:v>
      </x:c>
      <x:c r="T6" s="22" t="n">
        <x:v>6250000</x:v>
      </x:c>
      <x:c r="U6" s="23" t="n">
        <x:v>3.3858</x:v>
      </x:c>
      <x:c r="V6" s="20"/>
    </x:row>
    <x:row r="7">
      <x:c r="A7" s="20" t="str">
        <x:v>Semana Anterior</x:v>
      </x:c>
      <x:c r="B7" s="20" t="n">
        <x:v>6</x:v>
      </x:c>
      <x:c r="C7" s="21" t="n">
        <x:v>46206</x:v>
      </x:c>
      <x:c r="D7" s="20" t="str">
        <x:v>LEBASINAL</x:v>
      </x:c>
      <x:c r="E7" s="20" t="str">
        <x:v>Aplicação de DTF nos coletes</x:v>
      </x:c>
      <x:c r="F7" s="20" t="str">
        <x:v>Proposta aprovada</x:v>
      </x:c>
      <x:c r="G7" s="22" t="n">
        <x:v>71250</x:v>
      </x:c>
      <x:c r="H7" s="22" t="n">
        <x:v>71250</x:v>
      </x:c>
      <x:c r="I7" s="22"/>
      <x:c r="J7" s="23" t="n">
        <x:v>1</x:v>
      </x:c>
      <x:c r="K7" s="20" t="str">
        <x:v>Amélia Cassinda</x:v>
      </x:c>
      <x:c r="L7" s="20" t="str">
        <x:v>Iniciar a produção</x:v>
      </x:c>
      <x:c r="M7" s="21" t="n">
        <x:v>46209</x:v>
      </x:c>
      <x:c r="N7" s="20" t="str">
        <x:v>No aguardo do material, o cliente vai mandar na segunda feira</x:v>
      </x:c>
      <x:c r="O7" s="24" t="n">
        <x:v>1</x:v>
      </x:c>
      <x:c r="P7" s="22" t="n">
        <x:v>71250</x:v>
      </x:c>
      <x:c r="Q7" s="20" t="str">
        <x:v>A</x:v>
      </x:c>
      <x:c r="R7" s="20" t="str">
        <x:v>Média</x:v>
      </x:c>
      <x:c r="S7" s="20" t="str">
        <x:v>Fechado perdido</x:v>
      </x:c>
      <x:c r="T7" s="22" t="n">
        <x:v>6250000</x:v>
      </x:c>
      <x:c r="U7" s="23" t="n">
        <x:v>0.0114</x:v>
      </x:c>
      <x:c r="V7" s="20"/>
    </x:row>
    <x:row r="8">
      <x:c r="A8" s="20" t="str">
        <x:v>Semana Anterior</x:v>
      </x:c>
      <x:c r="B8" s="20" t="n">
        <x:v>7</x:v>
      </x:c>
      <x:c r="C8" s="21" t="n">
        <x:v>46199</x:v>
      </x:c>
      <x:c r="D8" s="20" t="str">
        <x:v>TEIXERA DUARTE</x:v>
      </x:c>
      <x:c r="E8" s="20" t="str">
        <x:v>Fornecimento de Diversos</x:v>
      </x:c>
      <x:c r="F8" s="20" t="str">
        <x:v>Proposta enviada</x:v>
      </x:c>
      <x:c r="G8" s="22" t="n">
        <x:v>718200</x:v>
      </x:c>
      <x:c r="H8" s="22" t="n">
        <x:v>0</x:v>
      </x:c>
      <x:c r="I8" s="22" t="n">
        <x:v>0</x:v>
      </x:c>
      <x:c r="J8" s="23" t="n">
        <x:v>0.5</x:v>
      </x:c>
      <x:c r="K8" s="20" t="str">
        <x:v>Amélia Cassinda</x:v>
      </x:c>
      <x:c r="L8" s="20" t="str">
        <x:v>Solicitar o ponto de situação da proposta</x:v>
      </x:c>
      <x:c r="M8" s="21" t="n">
        <x:v>46209</x:v>
      </x:c>
      <x:c r="N8" s="20" t="str">
        <x:v>Proposta remetida para avaliação</x:v>
      </x:c>
      <x:c r="O8" s="24" t="n">
        <x:v>8</x:v>
      </x:c>
      <x:c r="P8" s="22" t="n">
        <x:v>359100</x:v>
      </x:c>
      <x:c r="Q8" s="20" t="str">
        <x:v>C</x:v>
      </x:c>
      <x:c r="R8" s="20" t="str">
        <x:v>Normal</x:v>
      </x:c>
      <x:c r="S8" s="20" t="str">
        <x:v>Aberto</x:v>
      </x:c>
      <x:c r="T8" s="22" t="n">
        <x:v>6250000</x:v>
      </x:c>
      <x:c r="U8" s="23" t="n">
        <x:v>0</x:v>
      </x:c>
      <x:c r="V8" s="20"/>
    </x:row>
    <x:row r="9">
      <x:c r="A9" s="20" t="str">
        <x:v>Semana Anterior</x:v>
      </x:c>
      <x:c r="B9" s="20" t="n">
        <x:v>8</x:v>
      </x:c>
      <x:c r="C9" s="21" t="n">
        <x:v>46199</x:v>
      </x:c>
      <x:c r="D9" s="20" t="str">
        <x:v>ZAP</x:v>
      </x:c>
      <x:c r="E9" s="20" t="str">
        <x:v>Fornecimento de Pladur</x:v>
      </x:c>
      <x:c r="F9" s="20" t="str">
        <x:v>Proposta enviada</x:v>
      </x:c>
      <x:c r="G9" s="22" t="n">
        <x:v>516078</x:v>
      </x:c>
      <x:c r="H9" s="22" t="n">
        <x:v>0</x:v>
      </x:c>
      <x:c r="I9" s="22" t="n">
        <x:v>0</x:v>
      </x:c>
      <x:c r="J9" s="23" t="n">
        <x:v>0.4</x:v>
      </x:c>
      <x:c r="K9" s="20" t="str">
        <x:v>Amélia Cassinda</x:v>
      </x:c>
      <x:c r="L9" s="20" t="str">
        <x:v>Solicitar o ponto de situação da proposta</x:v>
      </x:c>
      <x:c r="M9" s="21" t="n">
        <x:v>46209</x:v>
      </x:c>
      <x:c r="N9" s="20" t="str">
        <x:v>Proposta remetida para avaliação</x:v>
      </x:c>
      <x:c r="O9" s="24" t="n">
        <x:v>8</x:v>
      </x:c>
      <x:c r="P9" s="22" t="n">
        <x:v>206431.2</x:v>
      </x:c>
      <x:c r="Q9" s="20" t="str">
        <x:v>C</x:v>
      </x:c>
      <x:c r="R9" s="20" t="str">
        <x:v>Normal</x:v>
      </x:c>
      <x:c r="S9" s="20" t="str">
        <x:v>Aberto</x:v>
      </x:c>
      <x:c r="T9" s="22" t="n">
        <x:v>6250000</x:v>
      </x:c>
      <x:c r="U9" s="23" t="n">
        <x:v>0</x:v>
      </x:c>
      <x:c r="V9" s="20"/>
    </x:row>
    <x:row r="10">
      <x:c r="A10" s="20" t="str">
        <x:v>Semana Anterior</x:v>
      </x:c>
      <x:c r="B10" s="20" t="n">
        <x:v>9</x:v>
      </x:c>
      <x:c r="C10" s="21" t="n">
        <x:v>46202</x:v>
      </x:c>
      <x:c r="D10" s="20" t="str">
        <x:v>ATO</x:v>
      </x:c>
      <x:c r="E10" s="20" t="str">
        <x:v>Fornecimento de camisas socais</x:v>
      </x:c>
      <x:c r="F10" s="20" t="str">
        <x:v>Proposta em negociação</x:v>
      </x:c>
      <x:c r="G10" s="22" t="n">
        <x:v>569726.4</x:v>
      </x:c>
      <x:c r="H10" s="22" t="n">
        <x:v>0</x:v>
      </x:c>
      <x:c r="I10" s="22" t="n">
        <x:v>0</x:v>
      </x:c>
      <x:c r="J10" s="23" t="n">
        <x:v>0.5</x:v>
      </x:c>
      <x:c r="K10" s="20" t="str">
        <x:v>Marta de Oliveira</x:v>
      </x:c>
      <x:c r="L10" s="20" t="str">
        <x:v>Solicitar o ponto de situação da proposta</x:v>
      </x:c>
      <x:c r="M10" s="21" t="n">
        <x:v>46209</x:v>
      </x:c>
      <x:c r="N10" s="20" t="str">
        <x:v>Proposta remetida para avaliação</x:v>
      </x:c>
      <x:c r="O10" s="24" t="n">
        <x:v>5</x:v>
      </x:c>
      <x:c r="P10" s="22" t="n">
        <x:v>284863.2</x:v>
      </x:c>
      <x:c r="Q10" s="20" t="str">
        <x:v>B</x:v>
      </x:c>
      <x:c r="R10" s="20" t="str">
        <x:v>Média</x:v>
      </x:c>
      <x:c r="S10" s="20" t="str">
        <x:v>Aberto</x:v>
      </x:c>
      <x:c r="T10" s="22" t="n">
        <x:v>6250000</x:v>
      </x:c>
      <x:c r="U10" s="23" t="n">
        <x:v>0</x:v>
      </x:c>
      <x:c r="V10" s="20"/>
    </x:row>
    <x:row r="11">
      <x:c r="A11" s="20" t="str">
        <x:v>Semana Anterior</x:v>
      </x:c>
      <x:c r="B11" s="20" t="n">
        <x:v>10</x:v>
      </x:c>
      <x:c r="C11" s="21" t="n">
        <x:v>46202</x:v>
      </x:c>
      <x:c r="D11" s="20" t="str">
        <x:v>ATO</x:v>
      </x:c>
      <x:c r="E11" s="20" t="str">
        <x:v>Forneciemnto de brindes para filda</x:v>
      </x:c>
      <x:c r="F11" s="20" t="str">
        <x:v>Proposta em negociação</x:v>
      </x:c>
      <x:c r="G11" s="22" t="n">
        <x:v>25624350</x:v>
      </x:c>
      <x:c r="H11" s="22" t="n">
        <x:v>0</x:v>
      </x:c>
      <x:c r="I11" s="22" t="n">
        <x:v>0</x:v>
      </x:c>
      <x:c r="J11" s="23" t="n">
        <x:v>0.5</x:v>
      </x:c>
      <x:c r="K11" s="20" t="str">
        <x:v>Marta de Oliveira</x:v>
      </x:c>
      <x:c r="L11" s="20" t="str">
        <x:v>Solicitar o ponto de situação da proposta</x:v>
      </x:c>
      <x:c r="M11" s="21" t="n">
        <x:v>46209</x:v>
      </x:c>
      <x:c r="N11" s="20" t="str">
        <x:v>Proposta reajustada e remetida para validação</x:v>
      </x:c>
      <x:c r="O11" s="24" t="n">
        <x:v>5</x:v>
      </x:c>
      <x:c r="P11" s="22" t="n">
        <x:v>12812175</x:v>
      </x:c>
      <x:c r="Q11" s="20" t="str">
        <x:v>C</x:v>
      </x:c>
      <x:c r="R11" s="20" t="str">
        <x:v>Média</x:v>
      </x:c>
      <x:c r="S11" s="20" t="str">
        <x:v>Aberto</x:v>
      </x:c>
      <x:c r="T11" s="22" t="n">
        <x:v>6250000</x:v>
      </x:c>
      <x:c r="U11" s="23" t="n">
        <x:v>0</x:v>
      </x:c>
      <x:c r="V11" s="20"/>
    </x:row>
    <x:row r="12">
      <x:c r="A12" s="20" t="str">
        <x:v>Semana Anterior</x:v>
      </x:c>
      <x:c r="B12" s="20" t="n">
        <x:v>11</x:v>
      </x:c>
      <x:c r="C12" s="21" t="n">
        <x:v>46206</x:v>
      </x:c>
      <x:c r="D12" s="20" t="str">
        <x:v>AFRICANA</x:v>
      </x:c>
      <x:c r="E12" s="20" t="str">
        <x:v>Fornecimento de letras em monobloco</x:v>
      </x:c>
      <x:c r="F12" s="20" t="str">
        <x:v>Proposta em negociação</x:v>
      </x:c>
      <x:c r="G12" s="22" t="n">
        <x:v>9947174.88</x:v>
      </x:c>
      <x:c r="H12" s="22" t="n">
        <x:v>0</x:v>
      </x:c>
      <x:c r="I12" s="22" t="n">
        <x:v>0</x:v>
      </x:c>
      <x:c r="J12" s="23" t="n">
        <x:v>0.5</x:v>
      </x:c>
      <x:c r="K12" s="20" t="str">
        <x:v>Marta de Oliveira</x:v>
      </x:c>
      <x:c r="L12" s="20" t="str">
        <x:v>Solicitar o ponto de situação da proposta</x:v>
      </x:c>
      <x:c r="M12" s="21" t="n">
        <x:v>46209</x:v>
      </x:c>
      <x:c r="N12" s="20" t="str">
        <x:v>Fazer o acompanhamento do cliente</x:v>
      </x:c>
      <x:c r="O12" s="24" t="n">
        <x:v>1</x:v>
      </x:c>
      <x:c r="P12" s="22" t="n">
        <x:v>4973587.44</x:v>
      </x:c>
      <x:c r="Q12" s="20" t="str">
        <x:v>C</x:v>
      </x:c>
      <x:c r="R12" s="20" t="str">
        <x:v>Alta</x:v>
      </x:c>
      <x:c r="S12" s="20" t="str">
        <x:v>Fechado ganho</x:v>
      </x:c>
      <x:c r="T12" s="22" t="n">
        <x:v>6250000</x:v>
      </x:c>
      <x:c r="U12" s="23" t="n">
        <x:v>0</x:v>
      </x:c>
      <x:c r="V12" s="20"/>
    </x:row>
    <x:row r="13">
      <x:c r="A13" s="20" t="str">
        <x:v>Semana Anterior</x:v>
      </x:c>
      <x:c r="B13" s="20" t="n">
        <x:v>12</x:v>
      </x:c>
      <x:c r="C13" s="21" t="n">
        <x:v>46206</x:v>
      </x:c>
      <x:c r="D13" s="20" t="str">
        <x:v>TRIBUNAL DE CONTAS</x:v>
      </x:c>
      <x:c r="E13" s="20" t="str">
        <x:v>Fornecimento de T-shirts e Bone</x:v>
      </x:c>
      <x:c r="F13" s="20" t="str">
        <x:v>Proposta aprovada</x:v>
      </x:c>
      <x:c r="G13" s="22" t="n">
        <x:v>171000</x:v>
      </x:c>
      <x:c r="H13" s="22" t="n">
        <x:v>171000</x:v>
      </x:c>
      <x:c r="I13" s="22" t="n">
        <x:v>0</x:v>
      </x:c>
      <x:c r="J13" s="23" t="n">
        <x:v>1</x:v>
      </x:c>
      <x:c r="K13" s="20" t="str">
        <x:v>Marta de Oliveira</x:v>
      </x:c>
      <x:c r="L13" s="20" t="str">
        <x:v>No aguardo das artes</x:v>
      </x:c>
      <x:c r="M13" s="21" t="n">
        <x:v>46209</x:v>
      </x:c>
      <x:c r="N13" s="20" t="str">
        <x:v>Acompanhamento até finalizar o processo</x:v>
      </x:c>
      <x:c r="O13" s="24" t="n">
        <x:v>1</x:v>
      </x:c>
      <x:c r="P13" s="22" t="n">
        <x:v>171000</x:v>
      </x:c>
      <x:c r="Q13" s="20" t="str">
        <x:v>C</x:v>
      </x:c>
      <x:c r="R13" s="20" t="str">
        <x:v>Alta</x:v>
      </x:c>
      <x:c r="S13" s="20" t="str">
        <x:v>Fechado ganho</x:v>
      </x:c>
      <x:c r="T13" s="22" t="n">
        <x:v>6250000</x:v>
      </x:c>
      <x:c r="U13" s="23" t="n">
        <x:v>0.02736</x:v>
      </x:c>
      <x:c r="V13" s="20"/>
    </x:row>
    <x:row r="14">
      <x:c r="A14" s="20" t="str">
        <x:v>Semana Anterior</x:v>
      </x:c>
      <x:c r="B14" s="20" t="n">
        <x:v>13</x:v>
      </x:c>
      <x:c r="C14" s="21" t="n">
        <x:v>46202</x:v>
      </x:c>
      <x:c r="D14" s="20" t="str">
        <x:v>NOSSA SEGUROS</x:v>
      </x:c>
      <x:c r="E14" s="20" t="str">
        <x:v>Fornecimento de papelaria e têxtil</x:v>
      </x:c>
      <x:c r="F14" s="20" t="str">
        <x:v>Proposta em negociação</x:v>
      </x:c>
      <x:c r="G14" s="22" t="n">
        <x:v>898800</x:v>
      </x:c>
      <x:c r="H14" s="22" t="n">
        <x:v>0</x:v>
      </x:c>
      <x:c r="I14" s="22" t="n">
        <x:v>0</x:v>
      </x:c>
      <x:c r="J14" s="23" t="n">
        <x:v>0.5</x:v>
      </x:c>
      <x:c r="K14" s="20" t="str">
        <x:v>Marta de Oliveira</x:v>
      </x:c>
      <x:c r="L14" s="20" t="str">
        <x:v>Solicitar PD da proposta</x:v>
      </x:c>
      <x:c r="M14" s="21" t="n">
        <x:v>46209</x:v>
      </x:c>
      <x:c r="N14" s="20" t="str">
        <x:v>Fazer o acompanhamento do cliente</x:v>
      </x:c>
      <x:c r="O14" s="24" t="n">
        <x:v>5</x:v>
      </x:c>
      <x:c r="P14" s="22" t="n">
        <x:v>449400</x:v>
      </x:c>
      <x:c r="Q14" s="20" t="str">
        <x:v>A</x:v>
      </x:c>
      <x:c r="R14" s="20" t="str">
        <x:v>Média</x:v>
      </x:c>
      <x:c r="S14" s="20" t="str">
        <x:v>Aberto</x:v>
      </x:c>
      <x:c r="T14" s="22" t="n">
        <x:v>6250000</x:v>
      </x:c>
      <x:c r="U14" s="23" t="n">
        <x:v>0</x:v>
      </x:c>
      <x:c r="V14" s="20"/>
    </x:row>
    <x:row r="15">
      <x:c r="A15" s="20" t="str">
        <x:v>Semana Anterior</x:v>
      </x:c>
      <x:c r="B15" s="20" t="n">
        <x:v>14</x:v>
      </x:c>
      <x:c r="C15" s="21" t="n">
        <x:v>46199</x:v>
      </x:c>
      <x:c r="D15" s="20" t="str">
        <x:v>GEMCORP</x:v>
      </x:c>
      <x:c r="E15" s="20" t="str">
        <x:v>Fornecimento de Materias para filda</x:v>
      </x:c>
      <x:c r="F15" s="20" t="str">
        <x:v>Proposta aprovada</x:v>
      </x:c>
      <x:c r="G15" s="22" t="n">
        <x:v>10151700</x:v>
      </x:c>
      <x:c r="H15" s="22" t="n">
        <x:v>10151700</x:v>
      </x:c>
      <x:c r="I15" s="22" t="n">
        <x:v>0</x:v>
      </x:c>
      <x:c r="J15" s="23" t="n">
        <x:v>1</x:v>
      </x:c>
      <x:c r="K15" s="20" t="str">
        <x:v>Marta de Oliveira</x:v>
      </x:c>
      <x:c r="L15" s="20" t="str">
        <x:v>Dar incio a produção</x:v>
      </x:c>
      <x:c r="M15" s="21" t="n">
        <x:v>46209</x:v>
      </x:c>
      <x:c r="N15" s="20" t="str">
        <x:v>Acompanhamento até finalizar o processo</x:v>
      </x:c>
      <x:c r="O15" s="24" t="n">
        <x:v>8</x:v>
      </x:c>
      <x:c r="P15" s="22" t="n">
        <x:v>10151700</x:v>
      </x:c>
      <x:c r="Q15" s="20" t="str">
        <x:v>A</x:v>
      </x:c>
      <x:c r="R15" s="20" t="str">
        <x:v>Média</x:v>
      </x:c>
      <x:c r="S15" s="20" t="str">
        <x:v>Aberto</x:v>
      </x:c>
      <x:c r="T15" s="22" t="n">
        <x:v>6250000</x:v>
      </x:c>
      <x:c r="U15" s="23" t="n">
        <x:v>1.624272</x:v>
      </x:c>
      <x:c r="V15" s="20"/>
    </x:row>
    <x:row r="16">
      <x:c r="A16" s="20" t="str">
        <x:v>Semana Anterior</x:v>
      </x:c>
      <x:c r="B16" s="20" t="n">
        <x:v>15</x:v>
      </x:c>
      <x:c r="C16" s="21" t="n">
        <x:v>46202</x:v>
      </x:c>
      <x:c r="D16" s="20" t="str">
        <x:v>GRANDES MOAGENS</x:v>
      </x:c>
      <x:c r="E16" s="20" t="str">
        <x:v>Placas de sinalização</x:v>
      </x:c>
      <x:c r="F16" s="20" t="str">
        <x:v>Proposta enviada</x:v>
      </x:c>
      <x:c r="G16" s="22" t="n">
        <x:v>7082596.56</x:v>
      </x:c>
      <x:c r="H16" s="22" t="n">
        <x:v>0</x:v>
      </x:c>
      <x:c r="I16" s="22" t="n">
        <x:v>0</x:v>
      </x:c>
      <x:c r="J16" s="23" t="n">
        <x:v>0.3</x:v>
      </x:c>
      <x:c r="K16" s="20" t="str">
        <x:v>José Neto</x:v>
      </x:c>
      <x:c r="L16" s="20" t="str">
        <x:v>Solicitar PD da proposta</x:v>
      </x:c>
      <x:c r="M16" s="21" t="n">
        <x:v>46209</x:v>
      </x:c>
      <x:c r="N16" s="20" t="str">
        <x:v>A cliente prevê atualização  da proposta na segunda-feira</x:v>
      </x:c>
      <x:c r="O16" s="24" t="n">
        <x:v>5</x:v>
      </x:c>
      <x:c r="P16" s="22" t="n">
        <x:v>2124778.968</x:v>
      </x:c>
      <x:c r="Q16" s="20" t="str">
        <x:v>C</x:v>
      </x:c>
      <x:c r="R16" s="20" t="str">
        <x:v>Média</x:v>
      </x:c>
      <x:c r="S16" s="20" t="str">
        <x:v>Aberto</x:v>
      </x:c>
      <x:c r="T16" s="22" t="n">
        <x:v>5000000</x:v>
      </x:c>
      <x:c r="U16" s="23" t="n">
        <x:v>0</x:v>
      </x:c>
      <x:c r="V16" s="20"/>
    </x:row>
    <x:row r="17">
      <x:c r="A17" s="20" t="str">
        <x:v>Semana Anterior</x:v>
      </x:c>
      <x:c r="B17" s="20" t="n">
        <x:v>16</x:v>
      </x:c>
      <x:c r="C17" s="21" t="n">
        <x:v>46206</x:v>
      </x:c>
      <x:c r="D17" s="20" t="str">
        <x:v>PRODEL</x:v>
      </x:c>
      <x:c r="E17" s="20" t="str">
        <x:v>Fornecimento de de pastas</x:v>
      </x:c>
      <x:c r="F17" s="20" t="str">
        <x:v>Proposta enviada</x:v>
      </x:c>
      <x:c r="G17" s="22" t="n">
        <x:v>2567596.12</x:v>
      </x:c>
      <x:c r="H17" s="22" t="n">
        <x:v>0</x:v>
      </x:c>
      <x:c r="I17" s="22" t="n">
        <x:v>0</x:v>
      </x:c>
      <x:c r="J17" s="23" t="n">
        <x:v>0.3</x:v>
      </x:c>
      <x:c r="K17" s="20" t="str">
        <x:v>José Neto</x:v>
      </x:c>
      <x:c r="L17" s="20" t="str">
        <x:v>Solicitar PD da proposta</x:v>
      </x:c>
      <x:c r="M17" s="21" t="n">
        <x:v>46209</x:v>
      </x:c>
      <x:c r="N17" s="20" t="str">
        <x:v>Proposta remetida para avaliação</x:v>
      </x:c>
      <x:c r="O17" s="24" t="n">
        <x:v>1</x:v>
      </x:c>
      <x:c r="P17" s="22" t="n">
        <x:v>770278.836</x:v>
      </x:c>
      <x:c r="Q17" s="20" t="str">
        <x:v>B</x:v>
      </x:c>
      <x:c r="R17" s="20" t="str">
        <x:v>Normal</x:v>
      </x:c>
      <x:c r="S17" s="20" t="str">
        <x:v>Aberto</x:v>
      </x:c>
      <x:c r="T17" s="22" t="n">
        <x:v>5000000</x:v>
      </x:c>
      <x:c r="U17" s="23" t="n">
        <x:v>0</x:v>
      </x:c>
      <x:c r="V17" s="20"/>
    </x:row>
    <x:row r="18">
      <x:c r="A18" s="20" t="str">
        <x:v>Semana Anterior</x:v>
      </x:c>
      <x:c r="B18" s="20" t="n">
        <x:v>17</x:v>
      </x:c>
      <x:c r="C18" s="21" t="n">
        <x:v>46199</x:v>
      </x:c>
      <x:c r="D18" s="20" t="str">
        <x:v>NESTLÉ</x:v>
      </x:c>
      <x:c r="E18" s="20" t="str">
        <x:v>Fornecimento de saco de pepel</x:v>
      </x:c>
      <x:c r="F18" s="20" t="str">
        <x:v>Proposta aprovada</x:v>
      </x:c>
      <x:c r="G18" s="22" t="n">
        <x:v>855000</x:v>
      </x:c>
      <x:c r="H18" s="22" t="n">
        <x:v>855000</x:v>
      </x:c>
      <x:c r="I18" s="22" t="n">
        <x:v>0</x:v>
      </x:c>
      <x:c r="J18" s="23" t="n">
        <x:v>1</x:v>
      </x:c>
      <x:c r="K18" s="20" t="str">
        <x:v>José Neto</x:v>
      </x:c>
      <x:c r="L18" s="20" t="str">
        <x:v>Dar incio a produção</x:v>
      </x:c>
      <x:c r="M18" s="21" t="n">
        <x:v>46209</x:v>
      </x:c>
      <x:c r="N18" s="20" t="str">
        <x:v>No aguardo das artes para dar o seguimento no processo</x:v>
      </x:c>
      <x:c r="O18" s="24" t="n">
        <x:v>8</x:v>
      </x:c>
      <x:c r="P18" s="22" t="n">
        <x:v>855000</x:v>
      </x:c>
      <x:c r="Q18" s="20" t="str">
        <x:v>B</x:v>
      </x:c>
      <x:c r="R18" s="20" t="str">
        <x:v>Normal</x:v>
      </x:c>
      <x:c r="S18" s="20" t="str">
        <x:v>Aberto</x:v>
      </x:c>
      <x:c r="T18" s="22" t="n">
        <x:v>5000000</x:v>
      </x:c>
      <x:c r="U18" s="23" t="n">
        <x:v>0.171</x:v>
      </x:c>
      <x:c r="V18" s="20"/>
    </x:row>
    <x:row r="19">
      <x:c r="A19" s="20" t="str">
        <x:v>Semana Anterior</x:v>
      </x:c>
      <x:c r="B19" s="20" t="n">
        <x:v>18</x:v>
      </x:c>
      <x:c r="C19" s="21" t="n">
        <x:v>46204</x:v>
      </x:c>
      <x:c r="D19" s="20" t="str">
        <x:v>ANGOLAUTO</x:v>
      </x:c>
      <x:c r="E19" s="20" t="str">
        <x:v>Fornecimento de Brindes</x:v>
      </x:c>
      <x:c r="F19" s="20" t="str">
        <x:v>Proposta aprovada</x:v>
      </x:c>
      <x:c r="G19" s="22" t="n">
        <x:v>10203000</x:v>
      </x:c>
      <x:c r="H19" s="22" t="n">
        <x:v>10203000</x:v>
      </x:c>
      <x:c r="I19" s="22" t="n">
        <x:v>0</x:v>
      </x:c>
      <x:c r="J19" s="23" t="n">
        <x:v>1</x:v>
      </x:c>
      <x:c r="K19" s="20" t="str">
        <x:v>David Guedes</x:v>
      </x:c>
      <x:c r="L19" s="20" t="str">
        <x:v>acompanhar a produção do material</x:v>
      </x:c>
      <x:c r="M19" s="21" t="n">
        <x:v>46209</x:v>
      </x:c>
      <x:c r="N19" s="20" t="str">
        <x:v>Amostras aprovadas, inicio da produção em massa</x:v>
      </x:c>
      <x:c r="O19" s="24" t="n">
        <x:v>3</x:v>
      </x:c>
      <x:c r="P19" s="22" t="n">
        <x:v>10203000</x:v>
      </x:c>
      <x:c r="Q19" s="20" t="str">
        <x:v>C</x:v>
      </x:c>
      <x:c r="R19" s="20" t="str">
        <x:v>Média</x:v>
      </x:c>
      <x:c r="S19" s="20" t="str">
        <x:v>Aberto</x:v>
      </x:c>
      <x:c r="T19" s="22" t="n">
        <x:v>5000000</x:v>
      </x:c>
      <x:c r="U19" s="23" t="n">
        <x:v>2.0406</x:v>
      </x:c>
      <x:c r="V19" s="20"/>
    </x:row>
    <x:row r="20">
      <x:c r="A20" s="20" t="str">
        <x:v>Semana Anterior</x:v>
      </x:c>
      <x:c r="B20" s="20" t="n">
        <x:v>19</x:v>
      </x:c>
      <x:c r="C20" s="21" t="n">
        <x:v>46205</x:v>
      </x:c>
      <x:c r="D20" s="20" t="str">
        <x:v>AUTROMATRIZ</x:v>
      </x:c>
      <x:c r="E20" s="20" t="str">
        <x:v>Fornecimento de tapetes</x:v>
      </x:c>
      <x:c r="F20" s="20" t="str">
        <x:v>Proposta enviada</x:v>
      </x:c>
      <x:c r="G20" s="22" t="n">
        <x:v>526338</x:v>
      </x:c>
      <x:c r="H20" s="22" t="n">
        <x:v>526338</x:v>
      </x:c>
      <x:c r="I20" s="22" t="n">
        <x:v>0</x:v>
      </x:c>
      <x:c r="J20" s="23" t="n">
        <x:v>1</x:v>
      </x:c>
      <x:c r="K20" s="20" t="str">
        <x:v>David Guedes</x:v>
      </x:c>
      <x:c r="L20" s="20" t="str">
        <x:v>acompanhar a produção do material</x:v>
      </x:c>
      <x:c r="M20" s="21" t="n">
        <x:v>46209</x:v>
      </x:c>
      <x:c r="N20" s="20" t="str">
        <x:v>Dar entreda no processo de produção</x:v>
      </x:c>
      <x:c r="O20" s="24" t="n">
        <x:v>2</x:v>
      </x:c>
      <x:c r="P20" s="22" t="n">
        <x:v>526338</x:v>
      </x:c>
      <x:c r="Q20" s="20" t="str">
        <x:v>C</x:v>
      </x:c>
      <x:c r="R20" s="20" t="str">
        <x:v>Média</x:v>
      </x:c>
      <x:c r="S20" s="20" t="str">
        <x:v>Aberto</x:v>
      </x:c>
      <x:c r="T20" s="22" t="n">
        <x:v>5000000</x:v>
      </x:c>
      <x:c r="U20" s="23" t="n">
        <x:v>0.1052676</x:v>
      </x:c>
      <x:c r="V20" s="20"/>
    </x:row>
    <x:row r="21">
      <x:c r="A21" s="20" t="str">
        <x:v>Semana Anterior</x:v>
      </x:c>
      <x:c r="B21" s="20" t="n">
        <x:v>20</x:v>
      </x:c>
      <x:c r="C21" s="21" t="n">
        <x:v>46205</x:v>
      </x:c>
      <x:c r="D21" s="20" t="str">
        <x:v>SUAVE</x:v>
      </x:c>
      <x:c r="E21" s="20" t="str">
        <x:v>Fornecimento de boné</x:v>
      </x:c>
      <x:c r="F21" s="20" t="str">
        <x:v>Proposta enviada</x:v>
      </x:c>
      <x:c r="G21" s="22" t="n">
        <x:v>3192000</x:v>
      </x:c>
      <x:c r="H21" s="22" t="n">
        <x:v>0</x:v>
      </x:c>
      <x:c r="I21" s="22" t="n">
        <x:v>0</x:v>
      </x:c>
      <x:c r="J21" s="23" t="n">
        <x:v>0.5</x:v>
      </x:c>
      <x:c r="K21" s="20" t="str">
        <x:v>David Guedes</x:v>
      </x:c>
      <x:c r="L21" s="20" t="str">
        <x:v>Entrar em contacto com a cliente para negociar a proposta</x:v>
      </x:c>
      <x:c r="M21" s="21" t="n">
        <x:v>46209</x:v>
      </x:c>
      <x:c r="N21" s="20" t="str">
        <x:v>Proposta remetida para avaliação</x:v>
      </x:c>
      <x:c r="O21" s="24" t="n">
        <x:v>2</x:v>
      </x:c>
      <x:c r="P21" s="22" t="n">
        <x:v>1596000</x:v>
      </x:c>
      <x:c r="Q21" s="20" t="str">
        <x:v>C</x:v>
      </x:c>
      <x:c r="R21" s="20" t="str">
        <x:v>Alta</x:v>
      </x:c>
      <x:c r="S21" s="20" t="str">
        <x:v>Aberto</x:v>
      </x:c>
      <x:c r="T21" s="22" t="n">
        <x:v>5000000</x:v>
      </x:c>
      <x:c r="U21" s="23" t="n">
        <x:v>0</x:v>
      </x:c>
      <x:c r="V21" s="20"/>
    </x:row>
    <x:row r="22">
      <x:c r="A22" s="20" t="str">
        <x:v>Semana Anterior</x:v>
      </x:c>
      <x:c r="B22" s="20" t="n">
        <x:v>21</x:v>
      </x:c>
      <x:c r="C22" s="21" t="n">
        <x:v>46205</x:v>
      </x:c>
      <x:c r="D22" s="20" t="str">
        <x:v>ALIANÇA SEGUROS</x:v>
      </x:c>
      <x:c r="E22" s="20" t="str">
        <x:v>Forneciemnto de Flyres picotados</x:v>
      </x:c>
      <x:c r="F22" s="20" t="str">
        <x:v>Proposta enviada</x:v>
      </x:c>
      <x:c r="G22" s="22" t="n">
        <x:v>4206170</x:v>
      </x:c>
      <x:c r="H22" s="22" t="n">
        <x:v>0</x:v>
      </x:c>
      <x:c r="I22" s="22" t="n">
        <x:v>0</x:v>
      </x:c>
      <x:c r="J22" s="23" t="n">
        <x:v>0.5</x:v>
      </x:c>
      <x:c r="K22" s="20" t="str">
        <x:v>David Guedes</x:v>
      </x:c>
      <x:c r="L22" s="20" t="str">
        <x:v>Solicitar o ponto de situação da proposta</x:v>
      </x:c>
      <x:c r="M22" s="21" t="n">
        <x:v>46209</x:v>
      </x:c>
      <x:c r="N22" s="20" t="str">
        <x:v>Proposta remetida para avaliação</x:v>
      </x:c>
      <x:c r="O22" s="24" t="n">
        <x:v>2</x:v>
      </x:c>
      <x:c r="P22" s="22" t="n">
        <x:v>2103085</x:v>
      </x:c>
      <x:c r="Q22" s="20" t="str">
        <x:v>C</x:v>
      </x:c>
      <x:c r="R22" s="20" t="str">
        <x:v>Média</x:v>
      </x:c>
      <x:c r="S22" s="20" t="str">
        <x:v>Aberto</x:v>
      </x:c>
      <x:c r="T22" s="22" t="n">
        <x:v>5000000</x:v>
      </x:c>
      <x:c r="U22" s="23" t="n">
        <x:v>0</x:v>
      </x:c>
      <x:c r="V22" s="20"/>
    </x:row>
    <x:row r="23">
      <x:c r="A23" s="20" t="str">
        <x:v>Semana Anterior</x:v>
      </x:c>
      <x:c r="B23" s="20" t="n">
        <x:v>22</x:v>
      </x:c>
      <x:c r="C23" s="21" t="n">
        <x:v>46202</x:v>
      </x:c>
      <x:c r="D23" s="20" t="str">
        <x:v>OSVALDO ROQUE</x:v>
      </x:c>
      <x:c r="E23" s="20" t="str">
        <x:v>Placas de Sinaléticas</x:v>
      </x:c>
      <x:c r="F23" s="20" t="str">
        <x:v>Proposta aprovada</x:v>
      </x:c>
      <x:c r="G23" s="22" t="n">
        <x:v>251370</x:v>
      </x:c>
      <x:c r="H23" s="22" t="n">
        <x:v>251370</x:v>
      </x:c>
      <x:c r="I23" s="22" t="n">
        <x:v>0</x:v>
      </x:c>
      <x:c r="J23" s="23" t="n">
        <x:v>1</x:v>
      </x:c>
      <x:c r="K23" s="20" t="str">
        <x:v>ilidio pedro</x:v>
      </x:c>
      <x:c r="L23" s="20" t="str">
        <x:v>Iniciar a produção</x:v>
      </x:c>
      <x:c r="M23" s="21" t="n">
        <x:v>46209</x:v>
      </x:c>
      <x:c r="N23" s="20" t="str">
        <x:v>No aguardo do pagamento da proposta</x:v>
      </x:c>
      <x:c r="O23" s="24" t="n">
        <x:v>5</x:v>
      </x:c>
      <x:c r="P23" s="22" t="n">
        <x:v>251370</x:v>
      </x:c>
      <x:c r="Q23" s="20" t="str">
        <x:v>C</x:v>
      </x:c>
      <x:c r="R23" s="20" t="str">
        <x:v>Alta</x:v>
      </x:c>
      <x:c r="S23" s="20" t="str">
        <x:v>Aberto</x:v>
      </x:c>
      <x:c r="T23" s="22" t="n">
        <x:v>5000000</x:v>
      </x:c>
      <x:c r="U23" s="23" t="n">
        <x:v>0.050274</x:v>
      </x:c>
      <x:c r="V23" s="20"/>
    </x:row>
    <x:row r="24">
      <x:c r="A24" s="20" t="str">
        <x:v>Semana Anterior</x:v>
      </x:c>
      <x:c r="B24" s="20" t="n">
        <x:v>23</x:v>
      </x:c>
      <x:c r="C24" s="21" t="n">
        <x:v>46202</x:v>
      </x:c>
      <x:c r="D24" s="20" t="str">
        <x:v>ACQUQCORD</x:v>
      </x:c>
      <x:c r="E24" s="20" t="str">
        <x:v>Fornecimento de Pins</x:v>
      </x:c>
      <x:c r="F24" s="20" t="str">
        <x:v>Proposta enviada</x:v>
      </x:c>
      <x:c r="G24" s="22" t="n">
        <x:v>2109500</x:v>
      </x:c>
      <x:c r="H24" s="22" t="n">
        <x:v>0</x:v>
      </x:c>
      <x:c r="I24" s="22" t="n">
        <x:v>0</x:v>
      </x:c>
      <x:c r="J24" s="23" t="n">
        <x:v>0.5</x:v>
      </x:c>
      <x:c r="K24" s="20" t="str">
        <x:v>ilidio pedro</x:v>
      </x:c>
      <x:c r="L24" s="20" t="str">
        <x:v>Solicitar o ponto de situação da proposta</x:v>
      </x:c>
      <x:c r="M24" s="21" t="n">
        <x:v>46209</x:v>
      </x:c>
      <x:c r="N24" s="20" t="str">
        <x:v>Proposta remetida para avaliação</x:v>
      </x:c>
      <x:c r="O24" s="24" t="n">
        <x:v>5</x:v>
      </x:c>
      <x:c r="P24" s="22" t="n">
        <x:v>1054750</x:v>
      </x:c>
      <x:c r="Q24" s="20" t="str">
        <x:v>C</x:v>
      </x:c>
      <x:c r="R24" s="20" t="str">
        <x:v>Média</x:v>
      </x:c>
      <x:c r="S24" s="20" t="str">
        <x:v>Aberto</x:v>
      </x:c>
      <x:c r="T24" s="22" t="n">
        <x:v>5000000</x:v>
      </x:c>
      <x:c r="U24" s="23" t="n">
        <x:v>0</x:v>
      </x:c>
      <x:c r="V24" s="20"/>
    </x:row>
    <x:row r="25">
      <x:c r="A25" s="20" t="str">
        <x:v>Semana Anterior</x:v>
      </x:c>
      <x:c r="B25" s="20" t="n">
        <x:v>24</x:v>
      </x:c>
      <x:c r="C25" s="21" t="n">
        <x:v>46202</x:v>
      </x:c>
      <x:c r="D25" s="20" t="str">
        <x:v>ENDIAMA</x:v>
      </x:c>
      <x:c r="E25" s="20" t="str">
        <x:v>Fornecimento de selo branco</x:v>
      </x:c>
      <x:c r="F25" s="20" t="str">
        <x:v>Proposta enviada</x:v>
      </x:c>
      <x:c r="G25" s="22" t="n">
        <x:v>250800</x:v>
      </x:c>
      <x:c r="H25" s="22" t="n">
        <x:v>0</x:v>
      </x:c>
      <x:c r="I25" s="22" t="n">
        <x:v>0</x:v>
      </x:c>
      <x:c r="J25" s="23" t="n">
        <x:v>0.4</x:v>
      </x:c>
      <x:c r="K25" s="20" t="str">
        <x:v>ilidio pedro</x:v>
      </x:c>
      <x:c r="L25" s="20" t="str">
        <x:v>Solicitar o ponto de situação da proposta</x:v>
      </x:c>
      <x:c r="M25" s="21" t="n">
        <x:v>46209</x:v>
      </x:c>
      <x:c r="N25" s="20" t="str">
        <x:v>Proposta remetida para avaliação</x:v>
      </x:c>
      <x:c r="O25" s="24" t="n">
        <x:v>5</x:v>
      </x:c>
      <x:c r="P25" s="22" t="n">
        <x:v>100320</x:v>
      </x:c>
      <x:c r="Q25" s="20" t="str">
        <x:v>C</x:v>
      </x:c>
      <x:c r="R25" s="20" t="str">
        <x:v>Alta</x:v>
      </x:c>
      <x:c r="S25" s="20" t="str">
        <x:v>Fechado ganho</x:v>
      </x:c>
      <x:c r="T25" s="22" t="n">
        <x:v>5000000</x:v>
      </x:c>
      <x:c r="U25" s="23" t="n">
        <x:v>0</x:v>
      </x:c>
      <x:c r="V25" s="20"/>
    </x:row>
    <x:row r="26">
      <x:c r="A26" s="20" t="str">
        <x:v>Semana Anterior</x:v>
      </x:c>
      <x:c r="B26" s="20" t="n">
        <x:v>25</x:v>
      </x:c>
      <x:c r="C26" s="21" t="n">
        <x:v>46176</x:v>
      </x:c>
      <x:c r="D26" s="20" t="str">
        <x:v>ENDIAMA</x:v>
      </x:c>
      <x:c r="E26" s="20" t="str">
        <x:v>Fornecimento De Brindes</x:v>
      </x:c>
      <x:c r="F26" s="20" t="str">
        <x:v>Proposta aprovada</x:v>
      </x:c>
      <x:c r="G26" s="22" t="n">
        <x:v>2539350</x:v>
      </x:c>
      <x:c r="H26" s="22" t="n">
        <x:v>2539350</x:v>
      </x:c>
      <x:c r="I26" s="22" t="n">
        <x:v>0</x:v>
      </x:c>
      <x:c r="J26" s="23" t="n">
        <x:v>1</x:v>
      </x:c>
      <x:c r="K26" s="20" t="str">
        <x:v>ilidio pedro</x:v>
      </x:c>
      <x:c r="L26" s="20" t="str">
        <x:v>Iniciar a produção</x:v>
      </x:c>
      <x:c r="M26" s="21" t="n">
        <x:v>46209</x:v>
      </x:c>
      <x:c r="N26" s="20" t="str">
        <x:v>o material deverá ser entregue até dia 10 do mês corrente</x:v>
      </x:c>
      <x:c r="O26" s="24" t="n">
        <x:v>31</x:v>
      </x:c>
      <x:c r="P26" s="22" t="n">
        <x:v>2539350</x:v>
      </x:c>
      <x:c r="Q26" s="20" t="str">
        <x:v>C</x:v>
      </x:c>
      <x:c r="R26" s="20" t="str">
        <x:v>Alta</x:v>
      </x:c>
      <x:c r="S26" s="20" t="str">
        <x:v>Fechado ganho</x:v>
      </x:c>
      <x:c r="T26" s="22" t="n">
        <x:v>5000000</x:v>
      </x:c>
      <x:c r="U26" s="23" t="n">
        <x:v>0.50787</x:v>
      </x:c>
      <x:c r="V26" s="20"/>
    </x:row>
    <x:row r="27">
      <x:c r="A27" s="20" t="str">
        <x:v>Semana Anterior</x:v>
      </x:c>
      <x:c r="B27" s="20" t="n">
        <x:v>26</x:v>
      </x:c>
      <x:c r="C27" s="21" t="n">
        <x:v>46202</x:v>
      </x:c>
      <x:c r="D27" s="20" t="str">
        <x:v>PUREGLASS</x:v>
      </x:c>
      <x:c r="E27" s="20" t="str">
        <x:v>Fornecimento De Brindes promocionais</x:v>
      </x:c>
      <x:c r="F27" s="20" t="str">
        <x:v>Proposta em negociação</x:v>
      </x:c>
      <x:c r="G27" s="22" t="n">
        <x:v>3454200</x:v>
      </x:c>
      <x:c r="H27" s="22" t="n">
        <x:v>0</x:v>
      </x:c>
      <x:c r="I27" s="22" t="n">
        <x:v>0</x:v>
      </x:c>
      <x:c r="J27" s="23" t="n">
        <x:v>0.5</x:v>
      </x:c>
      <x:c r="K27" s="20" t="str">
        <x:v>Fernando Leite</x:v>
      </x:c>
      <x:c r="L27" s="20" t="str">
        <x:v>Marcar uma visita na nossa sede</x:v>
      </x:c>
      <x:c r="M27" s="21" t="n">
        <x:v>46209</x:v>
      </x:c>
      <x:c r="N27" s="20" t="str">
        <x:v>Proposta remetida para avaliação</x:v>
      </x:c>
      <x:c r="O27" s="24" t="n">
        <x:v>5</x:v>
      </x:c>
      <x:c r="P27" s="22" t="n">
        <x:v>1727100</x:v>
      </x:c>
      <x:c r="Q27" s="20" t="str">
        <x:v>C</x:v>
      </x:c>
      <x:c r="R27" s="20" t="str">
        <x:v>Média</x:v>
      </x:c>
      <x:c r="S27" s="20" t="str">
        <x:v>Aberto</x:v>
      </x:c>
      <x:c r="T27" s="22" t="n">
        <x:v>5000000</x:v>
      </x:c>
      <x:c r="U27" s="23" t="n">
        <x:v>0</x:v>
      </x:c>
      <x:c r="V27" s="20"/>
    </x:row>
    <x:row r="28">
      <x:c r="A28" s="20" t="str">
        <x:v>Semana Anterior</x:v>
      </x:c>
      <x:c r="B28" s="20" t="n">
        <x:v>27</x:v>
      </x:c>
      <x:c r="C28" s="21" t="n">
        <x:v>46202</x:v>
      </x:c>
      <x:c r="D28" s="20" t="str">
        <x:v>PUREGLASS</x:v>
      </x:c>
      <x:c r="E28" s="20" t="str">
        <x:v>Fornecimento de brindes executivos</x:v>
      </x:c>
      <x:c r="F28" s="20" t="str">
        <x:v>Proposta em negociação</x:v>
      </x:c>
      <x:c r="G28" s="22" t="n">
        <x:v>3414300</x:v>
      </x:c>
      <x:c r="H28" s="22" t="n">
        <x:v>0</x:v>
      </x:c>
      <x:c r="I28" s="22" t="n">
        <x:v>0</x:v>
      </x:c>
      <x:c r="J28" s="23" t="n">
        <x:v>0.55</x:v>
      </x:c>
      <x:c r="K28" s="20" t="str">
        <x:v>Fernando Leite</x:v>
      </x:c>
      <x:c r="L28" s="20" t="str">
        <x:v>Solicitar o ponto de situação da proposta</x:v>
      </x:c>
      <x:c r="M28" s="21" t="n">
        <x:v>46209</x:v>
      </x:c>
      <x:c r="N28" s="20" t="str">
        <x:v>Proposta remetida para avaliação</x:v>
      </x:c>
      <x:c r="O28" s="24" t="n">
        <x:v>5</x:v>
      </x:c>
      <x:c r="P28" s="22" t="n">
        <x:v>1877865.0000000002</x:v>
      </x:c>
      <x:c r="Q28" s="20" t="str">
        <x:v>B</x:v>
      </x:c>
      <x:c r="R28" s="20" t="str">
        <x:v>Média</x:v>
      </x:c>
      <x:c r="S28" s="20" t="str">
        <x:v>Aberto</x:v>
      </x:c>
      <x:c r="T28" s="22" t="n">
        <x:v>5000000</x:v>
      </x:c>
      <x:c r="U28" s="23" t="n">
        <x:v>0</x:v>
      </x:c>
      <x:c r="V28" s="20"/>
    </x:row>
    <x:row r="29">
      <x:c r="A29" s="20" t="str">
        <x:v>Semana Anterior</x:v>
      </x:c>
      <x:c r="B29" s="20" t="n">
        <x:v>28</x:v>
      </x:c>
      <x:c r="C29" s="21" t="n">
        <x:v>46205</x:v>
      </x:c>
      <x:c r="D29" s="20" t="str">
        <x:v>PUREGLASS</x:v>
      </x:c>
      <x:c r="E29" s="20" t="str">
        <x:v>Fornecimento de polos</x:v>
      </x:c>
      <x:c r="F29" s="20" t="str">
        <x:v>Proposta aprovada</x:v>
      </x:c>
      <x:c r="G29" s="22" t="n">
        <x:v>489069</x:v>
      </x:c>
      <x:c r="H29" s="22" t="n">
        <x:v>489069</x:v>
      </x:c>
      <x:c r="I29" s="22" t="n">
        <x:v>0</x:v>
      </x:c>
      <x:c r="J29" s="23" t="n">
        <x:v>1</x:v>
      </x:c>
      <x:c r="K29" s="20" t="str">
        <x:v>Fernando Leite</x:v>
      </x:c>
      <x:c r="L29" s="20" t="str">
        <x:v>Considerar a possibilidade de apresentar um desconto</x:v>
      </x:c>
      <x:c r="M29" s="21" t="n">
        <x:v>46209</x:v>
      </x:c>
      <x:c r="N29" s="20" t="str">
        <x:v>O cliente informou que a nossa proposta está muito alta em relação ao Budget deles</x:v>
      </x:c>
      <x:c r="O29" s="24" t="n">
        <x:v>2</x:v>
      </x:c>
      <x:c r="P29" s="22" t="n">
        <x:v>489069</x:v>
      </x:c>
      <x:c r="Q29" s="20" t="str">
        <x:v>C</x:v>
      </x:c>
      <x:c r="R29" s="20" t="str">
        <x:v>Média</x:v>
      </x:c>
      <x:c r="S29" s="20" t="str">
        <x:v>Aberto</x:v>
      </x:c>
      <x:c r="T29" s="22" t="n">
        <x:v>5000000</x:v>
      </x:c>
      <x:c r="U29" s="23" t="n">
        <x:v>0.0978138</x:v>
      </x:c>
      <x:c r="V29" s="20"/>
    </x:row>
    <x:row r="30">
      <x:c r="A30" s="20" t="str">
        <x:v>Semana Anterior</x:v>
      </x:c>
      <x:c r="B30" s="20" t="n">
        <x:v>29</x:v>
      </x:c>
      <x:c r="C30" s="21" t="n">
        <x:v>46205</x:v>
      </x:c>
      <x:c r="D30" s="20" t="str">
        <x:v>BAXTTER</x:v>
      </x:c>
      <x:c r="E30" s="20" t="str">
        <x:v>Fornecimento de brindes</x:v>
      </x:c>
      <x:c r="F30" s="20" t="str">
        <x:v>Proposta em negociação</x:v>
      </x:c>
      <x:c r="G30" s="22" t="n">
        <x:v>1272240</x:v>
      </x:c>
      <x:c r="H30" s="22" t="n">
        <x:v>0</x:v>
      </x:c>
      <x:c r="I30" s="22" t="n">
        <x:v>0</x:v>
      </x:c>
      <x:c r="J30" s="23" t="n">
        <x:v>0.5</x:v>
      </x:c>
      <x:c r="K30" s="20" t="str">
        <x:v>Fernando Leite</x:v>
      </x:c>
      <x:c r="L30" s="20" t="str">
        <x:v>Acompanhamento da produção do material e garantir a entrega no prazo estipulado</x:v>
      </x:c>
      <x:c r="M30" s="21" t="n">
        <x:v>46209</x:v>
      </x:c>
      <x:c r="N30" s="20" t="str">
        <x:v>Compra do material para dar inicio a produção</x:v>
      </x:c>
      <x:c r="O30" s="24" t="n">
        <x:v>2</x:v>
      </x:c>
      <x:c r="P30" s="22" t="n">
        <x:v>636120</x:v>
      </x:c>
      <x:c r="Q30" s="20" t="str">
        <x:v>C</x:v>
      </x:c>
      <x:c r="R30" s="20" t="str">
        <x:v>Alta</x:v>
      </x:c>
      <x:c r="S30" s="20" t="str">
        <x:v>Fechado ganho</x:v>
      </x:c>
      <x:c r="T30" s="22" t="n">
        <x:v>5000000</x:v>
      </x:c>
      <x:c r="U30" s="23" t="n">
        <x:v>0</x:v>
      </x:c>
      <x:c r="V30" s="20"/>
    </x:row>
    <x:row r="31">
      <x:c r="A31" s="20" t="str">
        <x:v>Semana Anterior</x:v>
      </x:c>
      <x:c r="B31" s="20" t="n">
        <x:v>30</x:v>
      </x:c>
      <x:c r="C31" s="21" t="n">
        <x:v>46205</x:v>
      </x:c>
      <x:c r="D31" s="20" t="str">
        <x:v>GRUPO CAJUEIRO</x:v>
      </x:c>
      <x:c r="E31" s="20" t="str">
        <x:v>Fornecimento de cartões de visitas</x:v>
      </x:c>
      <x:c r="F31" s="20" t="str">
        <x:v>Proposta em negociação</x:v>
      </x:c>
      <x:c r="G31" s="22" t="n">
        <x:v>193800</x:v>
      </x:c>
      <x:c r="H31" s="22" t="n">
        <x:v>0</x:v>
      </x:c>
      <x:c r="I31" s="22" t="n">
        <x:v>0</x:v>
      </x:c>
      <x:c r="J31" s="23" t="n">
        <x:v>0.5</x:v>
      </x:c>
      <x:c r="K31" s="20" t="str">
        <x:v>Fernando Leite</x:v>
      </x:c>
      <x:c r="L31" s="20" t="str">
        <x:v>Pressionar o envio das artes</x:v>
      </x:c>
      <x:c r="M31" s="21" t="n">
        <x:v>46209</x:v>
      </x:c>
      <x:c r="N31" s="20" t="str">
        <x:v>Proposta validada, no aguardo do feedback do cliente para dar incio a produção</x:v>
      </x:c>
      <x:c r="O31" s="24" t="n">
        <x:v>2</x:v>
      </x:c>
      <x:c r="P31" s="22" t="n">
        <x:v>96900</x:v>
      </x:c>
      <x:c r="Q31" s="20" t="str">
        <x:v>C</x:v>
      </x:c>
      <x:c r="R31" s="20" t="str">
        <x:v>Alta</x:v>
      </x:c>
      <x:c r="S31" s="20" t="str">
        <x:v>Fechado ganho</x:v>
      </x:c>
      <x:c r="T31" s="22" t="n">
        <x:v>5000000</x:v>
      </x:c>
      <x:c r="U31" s="23" t="n">
        <x:v>0</x:v>
      </x:c>
      <x:c r="V31" s="20"/>
    </x:row>
    <x:row r="32">
      <x:c r="A32" s="20"/>
      <x:c r="B32" s="20"/>
      <x:c r="C32" s="21"/>
      <x:c r="D32" s="20"/>
      <x:c r="E32" s="20"/>
      <x:c r="F32" s="20"/>
      <x:c r="G32" s="22"/>
      <x:c r="H32" s="22"/>
      <x:c r="I32" s="22"/>
      <x:c r="J32" s="23"/>
      <x:c r="K32" s="20"/>
      <x:c r="L32" s="20"/>
      <x:c r="M32" s="21"/>
      <x:c r="N32" s="20"/>
      <x:c r="O32" s="24"/>
      <x:c r="P32" s="22"/>
      <x:c r="Q32" s="20"/>
      <x:c r="R32" s="20"/>
      <x:c r="S32" s="20"/>
      <x:c r="T32" s="22"/>
      <x:c r="U32" s="23"/>
      <x:c r="V32" s="20"/>
    </x:row>
    <x:row r="33">
      <x:c r="A33" s="20" t="str">
        <x:v>Semana Finda</x:v>
      </x:c>
      <x:c r="B33" s="20" t="n">
        <x:v>1</x:v>
      </x:c>
      <x:c r="C33" s="21" t="n">
        <x:v>46212</x:v>
      </x:c>
      <x:c r="D33" s="20" t="str">
        <x:v>IMOCASAIS</x:v>
      </x:c>
      <x:c r="E33" s="20" t="str">
        <x:v>Fornecimento de Blocos de nota, canetas Flyers</x:v>
      </x:c>
      <x:c r="F33" s="20" t="str">
        <x:v>Proposta em negociação</x:v>
      </x:c>
      <x:c r="G33" s="22" t="n">
        <x:v>1385100</x:v>
      </x:c>
      <x:c r="H33" s="22" t="n">
        <x:v>0</x:v>
      </x:c>
      <x:c r="I33" s="22" t="n">
        <x:v>0</x:v>
      </x:c>
      <x:c r="J33" s="23" t="n">
        <x:v>0.4</x:v>
      </x:c>
      <x:c r="K33" s="20" t="str">
        <x:v>Luiza Baltazar</x:v>
      </x:c>
      <x:c r="L33" s="20" t="str">
        <x:v>Entragar em contacto com o cliente para saber o orçamento deles</x:v>
      </x:c>
      <x:c r="M33" s="21" t="n">
        <x:v>46216</x:v>
      </x:c>
      <x:c r="N33" s="20" t="str">
        <x:v>Proposta remetida para avaliação</x:v>
      </x:c>
      <x:c r="O33" s="24" t="n">
        <x:f>IF(C33="","",MAX(0,TODAY()-C33))</x:f>
        <x:v>4</x:v>
      </x:c>
      <x:c r="P33" s="22" t="n">
        <x:f>IF(OR(G33="",J33=""),"",G33*J33)</x:f>
        <x:v>554040</x:v>
      </x:c>
      <x:c r="Q33" s="20" t="str">
        <x:v>B</x:v>
      </x:c>
      <x:c r="R33" s="20" t="str">
        <x:v>Normal</x:v>
      </x:c>
      <x:c r="S33" s="20" t="str">
        <x:v>Aberto</x:v>
      </x:c>
      <x:c r="T33" s="22" t="n">
        <x:f>IF(K33="","",IFERROR(VLOOKUP(K33,Listas!$G$2:$J$8,4,FALSE),0))</x:f>
        <x:v>7500000</x:v>
      </x:c>
      <x:c r="U33" s="23" t="n">
        <x:f>IFERROR(H33/T33,0)</x:f>
        <x:v>0</x:v>
      </x:c>
      <x:c r="V33" s="20" t="str"/>
    </x:row>
    <x:row r="34">
      <x:c r="A34" s="20" t="str">
        <x:v>Semana Finda</x:v>
      </x:c>
      <x:c r="B34" s="20" t="n">
        <x:v>2</x:v>
      </x:c>
      <x:c r="C34" s="21" t="n">
        <x:v>46210</x:v>
      </x:c>
      <x:c r="D34" s="20" t="str">
        <x:v>SUEZ</x:v>
      </x:c>
      <x:c r="E34" s="20" t="str">
        <x:v>Fornecimento de Flyrs monofolha e tripticos</x:v>
      </x:c>
      <x:c r="F34" s="20" t="str">
        <x:v>Proposta em negociação</x:v>
      </x:c>
      <x:c r="G34" s="22" t="n">
        <x:v>6260880</x:v>
      </x:c>
      <x:c r="H34" s="22" t="n">
        <x:v>0</x:v>
      </x:c>
      <x:c r="I34" s="22" t="n">
        <x:v>0</x:v>
      </x:c>
      <x:c r="J34" s="23" t="n">
        <x:v>0.8</x:v>
      </x:c>
      <x:c r="K34" s="20" t="str">
        <x:v>Luiza Baltazar</x:v>
      </x:c>
      <x:c r="L34" s="20" t="str">
        <x:v>negociar a modadlidade de pagamento </x:v>
      </x:c>
      <x:c r="M34" s="21" t="n">
        <x:v>46216</x:v>
      </x:c>
      <x:c r="N34" s="20" t="str">
        <x:v>Falta o envio da PO, para credibilizar a adjudicação do processo</x:v>
      </x:c>
      <x:c r="O34" s="24" t="n">
        <x:f>IF(C34="","",MAX(0,TODAY()-C34))</x:f>
        <x:v>6</x:v>
      </x:c>
      <x:c r="P34" s="22" t="n">
        <x:f>IF(OR(G34="",J34=""),"",G34*J34)</x:f>
        <x:v>5008704</x:v>
      </x:c>
      <x:c r="Q34" s="20" t="str">
        <x:v>C</x:v>
      </x:c>
      <x:c r="R34" s="20" t="str">
        <x:v>Alta</x:v>
      </x:c>
      <x:c r="S34" s="20" t="str">
        <x:v>Aberto</x:v>
      </x:c>
      <x:c r="T34" s="22" t="n">
        <x:f>IF(K34="","",IFERROR(VLOOKUP(K34,Listas!$G$2:$J$8,4,FALSE),0))</x:f>
        <x:v>7500000</x:v>
      </x:c>
      <x:c r="U34" s="23" t="n">
        <x:f>IFERROR(H34/T34,0)</x:f>
        <x:v>0</x:v>
      </x:c>
      <x:c r="V34" s="20" t="str"/>
    </x:row>
    <x:row r="35">
      <x:c r="A35" s="20" t="str">
        <x:v>Semana Finda</x:v>
      </x:c>
      <x:c r="B35" s="20" t="n">
        <x:v>3</x:v>
      </x:c>
      <x:c r="C35" s="21" t="n">
        <x:v>46209</x:v>
      </x:c>
      <x:c r="D35" s="20" t="str">
        <x:v>TEIXERA DUARTE</x:v>
      </x:c>
      <x:c r="E35" s="20" t="str">
        <x:v>Fornecimento de Diversos</x:v>
      </x:c>
      <x:c r="F35" s="20" t="str">
        <x:v>Proposta aprovada</x:v>
      </x:c>
      <x:c r="G35" s="22" t="n">
        <x:v>758100</x:v>
      </x:c>
      <x:c r="H35" s="22" t="n">
        <x:v>758100</x:v>
      </x:c>
      <x:c r="I35" s="22" t="n">
        <x:v>0</x:v>
      </x:c>
      <x:c r="J35" s="23" t="n">
        <x:v>1</x:v>
      </x:c>
      <x:c r="K35" s="20" t="str">
        <x:v>Luiza Baltazar</x:v>
      </x:c>
      <x:c r="L35" s="20" t="str">
        <x:v>Aumentar o fluxo de trabalhos com este cliente</x:v>
      </x:c>
      <x:c r="M35" s="21" t="n">
        <x:v>46216</x:v>
      </x:c>
      <x:c r="N35" s="20" t="str">
        <x:v>As artes já foram aprovadas</x:v>
      </x:c>
      <x:c r="O35" s="24" t="n">
        <x:f>IF(C35="","",MAX(0,TODAY()-C35))</x:f>
        <x:v>7</x:v>
      </x:c>
      <x:c r="P35" s="22" t="n">
        <x:f>IF(OR(G35="",J35=""),"",G35*J35)</x:f>
        <x:v>758100</x:v>
      </x:c>
      <x:c r="Q35" s="20" t="str">
        <x:v>A</x:v>
      </x:c>
      <x:c r="R35" s="20" t="str">
        <x:v>Alta</x:v>
      </x:c>
      <x:c r="S35" s="20" t="str">
        <x:v>Fechado ganho</x:v>
      </x:c>
      <x:c r="T35" s="22" t="n">
        <x:f>IF(K35="","",IFERROR(VLOOKUP(K35,Listas!$G$2:$J$8,4,FALSE),0))</x:f>
        <x:v>7500000</x:v>
      </x:c>
      <x:c r="U35" s="23" t="n">
        <x:f>IFERROR(H35/T35,0)</x:f>
        <x:v>0.10108</x:v>
      </x:c>
      <x:c r="V35" s="20" t="str"/>
    </x:row>
    <x:row r="36">
      <x:c r="A36" s="20" t="str">
        <x:v>Semana Finda</x:v>
      </x:c>
      <x:c r="B36" s="20" t="n">
        <x:v>4</x:v>
      </x:c>
      <x:c r="C36" s="21" t="n">
        <x:v>46210</x:v>
      </x:c>
      <x:c r="D36" s="20" t="str">
        <x:v>SIAC</x:v>
      </x:c>
      <x:c r="E36" s="20" t="str">
        <x:v>Fornecimento de brindes e merchandising</x:v>
      </x:c>
      <x:c r="F36" s="20" t="str">
        <x:v>Proposta enviada</x:v>
      </x:c>
      <x:c r="G36" s="22" t="n">
        <x:v>19418760</x:v>
      </x:c>
      <x:c r="H36" s="22" t="n">
        <x:v>0</x:v>
      </x:c>
      <x:c r="I36" s="22" t="n">
        <x:v>0</x:v>
      </x:c>
      <x:c r="J36" s="23" t="n">
        <x:v>0.4</x:v>
      </x:c>
      <x:c r="K36" s="20" t="str">
        <x:v>Luiza Baltazar</x:v>
      </x:c>
      <x:c r="L36" s="20" t="str">
        <x:v>Agendar uma reunião com o cliente</x:v>
      </x:c>
      <x:c r="M36" s="21" t="n">
        <x:v>46216</x:v>
      </x:c>
      <x:c r="N36" s="20" t="str">
        <x:v>Proposta remetida para validação</x:v>
      </x:c>
      <x:c r="O36" s="24" t="n">
        <x:f>IF(C36="","",MAX(0,TODAY()-C36))</x:f>
        <x:v>6</x:v>
      </x:c>
      <x:c r="P36" s="22" t="n">
        <x:f>IF(OR(G36="",J36=""),"",G36*J36)</x:f>
        <x:v>7767504</x:v>
      </x:c>
      <x:c r="Q36" s="20" t="str">
        <x:v>A</x:v>
      </x:c>
      <x:c r="R36" s="20" t="str">
        <x:v>Média</x:v>
      </x:c>
      <x:c r="S36" s="20" t="str">
        <x:v>Aberto</x:v>
      </x:c>
      <x:c r="T36" s="22" t="n">
        <x:f>IF(K36="","",IFERROR(VLOOKUP(K36,Listas!$G$2:$J$8,4,FALSE),0))</x:f>
        <x:v>7500000</x:v>
      </x:c>
      <x:c r="U36" s="23" t="n">
        <x:f>IFERROR(H36/T36,0)</x:f>
        <x:v>0</x:v>
      </x:c>
      <x:c r="V36" s="20" t="str"/>
    </x:row>
    <x:row r="37">
      <x:c r="A37" s="20" t="str">
        <x:v>Semana Finda</x:v>
      </x:c>
      <x:c r="B37" s="20" t="n">
        <x:v>5</x:v>
      </x:c>
      <x:c r="C37" s="21" t="n">
        <x:v>46211</x:v>
      </x:c>
      <x:c r="D37" s="20" t="str">
        <x:v>ALIANÇA SEGUROS</x:v>
      </x:c>
      <x:c r="E37" s="20" t="str">
        <x:v>Fornecimento de Flyers dipticos </x:v>
      </x:c>
      <x:c r="F37" s="20" t="str">
        <x:v>Proposta enviada</x:v>
      </x:c>
      <x:c r="G37" s="22" t="n">
        <x:v>3328800</x:v>
      </x:c>
      <x:c r="H37" s="22" t="n">
        <x:v>0</x:v>
      </x:c>
      <x:c r="I37" s="22" t="n">
        <x:v>0</x:v>
      </x:c>
      <x:c r="J37" s="23" t="n">
        <x:v>0.4</x:v>
      </x:c>
      <x:c r="K37" s="20" t="str">
        <x:v>Luiza Baltazar</x:v>
      </x:c>
      <x:c r="L37" s="20" t="str">
        <x:v>Considerar a possibilidade de apresentar um desconto</x:v>
      </x:c>
      <x:c r="M37" s="21" t="n">
        <x:v>46216</x:v>
      </x:c>
      <x:c r="N37" s="20" t="str">
        <x:v>Proposta remetida para validação</x:v>
      </x:c>
      <x:c r="O37" s="24" t="n">
        <x:f>IF(C37="","",MAX(0,TODAY()-C37))</x:f>
        <x:v>5</x:v>
      </x:c>
      <x:c r="P37" s="22" t="n">
        <x:f>IF(OR(G37="",J37=""),"",G37*J37)</x:f>
        <x:v>1331520</x:v>
      </x:c>
      <x:c r="Q37" s="20" t="str">
        <x:v>A</x:v>
      </x:c>
      <x:c r="R37" s="20" t="str">
        <x:v>Normal</x:v>
      </x:c>
      <x:c r="S37" s="20" t="str">
        <x:v>Aberto</x:v>
      </x:c>
      <x:c r="T37" s="22" t="n">
        <x:f>IF(K37="","",IFERROR(VLOOKUP(K37,Listas!$G$2:$J$8,4,FALSE),0))</x:f>
        <x:v>7500000</x:v>
      </x:c>
      <x:c r="U37" s="23" t="n">
        <x:f>IFERROR(H37/T37,0)</x:f>
        <x:v>0</x:v>
      </x:c>
      <x:c r="V37" s="20" t="str"/>
    </x:row>
    <x:row r="38">
      <x:c r="A38" s="20" t="str">
        <x:v>Semana Finda</x:v>
      </x:c>
      <x:c r="B38" s="20" t="n">
        <x:v>6</x:v>
      </x:c>
      <x:c r="C38" s="21" t="n">
        <x:v>46212</x:v>
      </x:c>
      <x:c r="D38" s="20" t="str">
        <x:v>COSCAL</x:v>
      </x:c>
      <x:c r="E38" s="20" t="str">
        <x:v>Fornecimento de flyers Tripticos</x:v>
      </x:c>
      <x:c r="F38" s="20" t="str">
        <x:v>Produção / Entrega</x:v>
      </x:c>
      <x:c r="G38" s="22" t="n">
        <x:v>259350</x:v>
      </x:c>
      <x:c r="H38" s="22" t="n">
        <x:v>259350</x:v>
      </x:c>
      <x:c r="I38" s="22" t="n">
        <x:v>0</x:v>
      </x:c>
      <x:c r="J38" s="23" t="n">
        <x:v>1</x:v>
      </x:c>
      <x:c r="K38" s="20" t="str">
        <x:v>Luiza Baltazar</x:v>
      </x:c>
      <x:c r="L38" s="20" t="str">
        <x:v>Conseguir o contacto do cliente final</x:v>
      </x:c>
      <x:c r="M38" s="21" t="n">
        <x:v>46216</x:v>
      </x:c>
      <x:c r="N38" s="20" t="str">
        <x:v>Material produzido e entregue</x:v>
      </x:c>
      <x:c r="O38" s="24" t="n">
        <x:f>IF(C38="","",MAX(0,TODAY()-C38))</x:f>
        <x:v>4</x:v>
      </x:c>
      <x:c r="P38" s="22" t="n">
        <x:f>IF(OR(G38="",J38=""),"",G38*J38)</x:f>
        <x:v>259350</x:v>
      </x:c>
      <x:c r="Q38" s="20" t="str">
        <x:v>A</x:v>
      </x:c>
      <x:c r="R38" s="20" t="str">
        <x:v>Alta</x:v>
      </x:c>
      <x:c r="S38" s="20" t="str">
        <x:v>Aberto</x:v>
      </x:c>
      <x:c r="T38" s="22" t="n">
        <x:f>IF(K38="","",IFERROR(VLOOKUP(K38,Listas!$G$2:$J$8,4,FALSE),0))</x:f>
        <x:v>7500000</x:v>
      </x:c>
      <x:c r="U38" s="23" t="n">
        <x:f>IFERROR(H38/T38,0)</x:f>
        <x:v>0.03458</x:v>
      </x:c>
      <x:c r="V38" s="20" t="str"/>
    </x:row>
    <x:row r="39">
      <x:c r="A39" s="20" t="str">
        <x:v>Semana Finda</x:v>
      </x:c>
      <x:c r="B39" s="20" t="n">
        <x:v>7</x:v>
      </x:c>
      <x:c r="C39" s="21" t="n">
        <x:v>46189</x:v>
      </x:c>
      <x:c r="D39" s="20" t="str">
        <x:v>ENDIAMA</x:v>
      </x:c>
      <x:c r="E39" s="20" t="str">
        <x:v>Fornecimento de materiais para outubro rosa</x:v>
      </x:c>
      <x:c r="F39" s="20" t="str">
        <x:v>Proposta em negociação</x:v>
      </x:c>
      <x:c r="G39" s="22" t="n">
        <x:v>6958560</x:v>
      </x:c>
      <x:c r="H39" s="22" t="n">
        <x:v>0</x:v>
      </x:c>
      <x:c r="I39" s="22" t="n">
        <x:v>0</x:v>
      </x:c>
      <x:c r="J39" s="23" t="n">
        <x:v>0.8</x:v>
      </x:c>
      <x:c r="K39" s="20" t="str">
        <x:v>Luiza Baltazar</x:v>
      </x:c>
      <x:c r="L39" s="20" t="str">
        <x:v>negociar a modadlidade de pagamento </x:v>
      </x:c>
      <x:c r="M39" s="21" t="n">
        <x:v>46216</x:v>
      </x:c>
      <x:c r="N39" s="20" t="str">
        <x:v>Falta o envio da PO, para credibilizar a adjudicação do processo</x:v>
      </x:c>
      <x:c r="O39" s="24" t="n">
        <x:f>IF(C39="","",MAX(0,TODAY()-C39))</x:f>
        <x:v>27</x:v>
      </x:c>
      <x:c r="P39" s="22" t="n">
        <x:f>IF(OR(G39="",J39=""),"",G39*J39)</x:f>
        <x:v>5566848</x:v>
      </x:c>
      <x:c r="Q39" s="20" t="str">
        <x:v>C</x:v>
      </x:c>
      <x:c r="R39" s="20" t="str">
        <x:v>Alta</x:v>
      </x:c>
      <x:c r="S39" s="20" t="str">
        <x:v>Aberto</x:v>
      </x:c>
      <x:c r="T39" s="22" t="n">
        <x:f>IF(K39="","",IFERROR(VLOOKUP(K39,Listas!$G$2:$J$8,4,FALSE),0))</x:f>
        <x:v>7500000</x:v>
      </x:c>
      <x:c r="U39" s="23" t="n">
        <x:f>IFERROR(H39/T39,0)</x:f>
        <x:v>0</x:v>
      </x:c>
      <x:c r="V39" s="20" t="str"/>
    </x:row>
    <x:row r="40">
      <x:c r="A40" s="20" t="str">
        <x:v>Semana Finda</x:v>
      </x:c>
      <x:c r="B40" s="20" t="n">
        <x:v>8</x:v>
      </x:c>
      <x:c r="C40" s="21" t="n">
        <x:v>46198</x:v>
      </x:c>
      <x:c r="D40" s="20" t="str">
        <x:v>PAY4ALL</x:v>
      </x:c>
      <x:c r="E40" s="20" t="str">
        <x:v>Fornecimento de Brindes para a filda</x:v>
      </x:c>
      <x:c r="F40" s="20" t="str">
        <x:v>Proposta aprovada</x:v>
      </x:c>
      <x:c r="G40" s="22" t="n">
        <x:v>2106150</x:v>
      </x:c>
      <x:c r="H40" s="22" t="n">
        <x:v>2106150</x:v>
      </x:c>
      <x:c r="I40" s="22" t="n">
        <x:v>0</x:v>
      </x:c>
      <x:c r="J40" s="23" t="n">
        <x:v>1</x:v>
      </x:c>
      <x:c r="K40" s="20" t="str">
        <x:v>Amélia Cassinda</x:v>
      </x:c>
      <x:c r="L40" s="20" t="str">
        <x:v>Acompanharo processo de produção externa e interna, para cumprir com o prazo</x:v>
      </x:c>
      <x:c r="M40" s="21" t="n">
        <x:v>46216</x:v>
      </x:c>
      <x:c r="N40" s="20" t="str">
        <x:v>Avaliação e criação de artes finais para produção</x:v>
      </x:c>
      <x:c r="O40" s="24" t="n">
        <x:f>IF(C40="","",MAX(0,TODAY()-C40))</x:f>
        <x:v>18</x:v>
      </x:c>
      <x:c r="P40" s="22" t="n">
        <x:f>IF(OR(G40="",J40=""),"",G40*J40)</x:f>
        <x:v>2106150</x:v>
      </x:c>
      <x:c r="Q40" s="20" t="str">
        <x:v>C</x:v>
      </x:c>
      <x:c r="R40" s="20" t="str">
        <x:v>Alta</x:v>
      </x:c>
      <x:c r="S40" s="20" t="str">
        <x:v>Fechado ganho</x:v>
      </x:c>
      <x:c r="T40" s="22" t="n">
        <x:f>IF(K40="","",IFERROR(VLOOKUP(K40,Listas!$G$2:$J$8,4,FALSE),0))</x:f>
        <x:v>6250000</x:v>
      </x:c>
      <x:c r="U40" s="23" t="n">
        <x:f>IFERROR(H40/T40,0)</x:f>
        <x:v>0.336984</x:v>
      </x:c>
      <x:c r="V40" s="20" t="str"/>
    </x:row>
    <x:row r="41">
      <x:c r="A41" s="20" t="str">
        <x:v>Semana Finda</x:v>
      </x:c>
      <x:c r="B41" s="20" t="n">
        <x:v>9</x:v>
      </x:c>
      <x:c r="C41" s="21" t="n">
        <x:v>46209</x:v>
      </x:c>
      <x:c r="D41" s="20" t="str">
        <x:v>XPRINT</x:v>
      </x:c>
      <x:c r="E41" s="20" t="str">
        <x:v>Fornecimento de Brindes e Têxtil</x:v>
      </x:c>
      <x:c r="F41" s="20" t="str">
        <x:v>Proposta enviada</x:v>
      </x:c>
      <x:c r="G41" s="22" t="n">
        <x:v>2350680</x:v>
      </x:c>
      <x:c r="H41" s="22" t="n">
        <x:v>0</x:v>
      </x:c>
      <x:c r="I41" s="22" t="n">
        <x:v>0</x:v>
      </x:c>
      <x:c r="J41" s="23" t="n">
        <x:v>0.4</x:v>
      </x:c>
      <x:c r="K41" s="20" t="str">
        <x:v>Amélia Cassinda</x:v>
      </x:c>
      <x:c r="L41" s="20" t="str">
        <x:v>Considerar a possibilidade de apresentar um desconto</x:v>
      </x:c>
      <x:c r="M41" s="21" t="n">
        <x:v>46216</x:v>
      </x:c>
      <x:c r="N41" s="20" t="str">
        <x:v>Proposta remetida para avaliação</x:v>
      </x:c>
      <x:c r="O41" s="24" t="n">
        <x:f>IF(C41="","",MAX(0,TODAY()-C41))</x:f>
        <x:v>7</x:v>
      </x:c>
      <x:c r="P41" s="22" t="n">
        <x:f>IF(OR(G41="",J41=""),"",G41*J41)</x:f>
        <x:v>940272</x:v>
      </x:c>
      <x:c r="Q41" s="20" t="str">
        <x:v>B</x:v>
      </x:c>
      <x:c r="R41" s="20" t="str">
        <x:v>Normal</x:v>
      </x:c>
      <x:c r="S41" s="20" t="str">
        <x:v>Aberto</x:v>
      </x:c>
      <x:c r="T41" s="22" t="n">
        <x:f>IF(K41="","",IFERROR(VLOOKUP(K41,Listas!$G$2:$J$8,4,FALSE),0))</x:f>
        <x:v>6250000</x:v>
      </x:c>
      <x:c r="U41" s="23" t="n">
        <x:f>IFERROR(H41/T41,0)</x:f>
        <x:v>0</x:v>
      </x:c>
      <x:c r="V41" s="20" t="str"/>
    </x:row>
    <x:row r="42">
      <x:c r="A42" s="20" t="str">
        <x:v>Semana Finda</x:v>
      </x:c>
      <x:c r="B42" s="20" t="n">
        <x:v>10</x:v>
      </x:c>
      <x:c r="C42" s="21" t="n">
        <x:v>46213</x:v>
      </x:c>
      <x:c r="D42" s="20" t="str">
        <x:v>DUBAI INVESTIMETS</x:v>
      </x:c>
      <x:c r="E42" s="20" t="str">
        <x:v>Forneciemnto de Brindes</x:v>
      </x:c>
      <x:c r="F42" s="20" t="str">
        <x:v>Proposta enviada</x:v>
      </x:c>
      <x:c r="G42" s="22" t="n">
        <x:v>6156000</x:v>
      </x:c>
      <x:c r="H42" s="22" t="n">
        <x:v>0</x:v>
      </x:c>
      <x:c r="I42" s="22" t="n">
        <x:v>0</x:v>
      </x:c>
      <x:c r="J42" s="23" t="n">
        <x:v>0.5</x:v>
      </x:c>
      <x:c r="K42" s="20" t="str">
        <x:v>Amélia Cassinda</x:v>
      </x:c>
      <x:c r="L42" s="20" t="str">
        <x:v>Apresentar amostras Físicas e acompanhar o processo </x:v>
      </x:c>
      <x:c r="M42" s="21" t="n">
        <x:v>46216</x:v>
      </x:c>
      <x:c r="N42" s="20" t="str">
        <x:v>Proposta remetida para avaliação</x:v>
      </x:c>
      <x:c r="O42" s="24" t="n">
        <x:f>IF(C42="","",MAX(0,TODAY()-C42))</x:f>
        <x:v>3</x:v>
      </x:c>
      <x:c r="P42" s="22" t="n">
        <x:f>IF(OR(G42="",J42=""),"",G42*J42)</x:f>
        <x:v>3078000</x:v>
      </x:c>
      <x:c r="Q42" s="20" t="str">
        <x:v>C</x:v>
      </x:c>
      <x:c r="R42" s="20" t="str">
        <x:v>Média</x:v>
      </x:c>
      <x:c r="S42" s="20" t="str">
        <x:v>Aberto</x:v>
      </x:c>
      <x:c r="T42" s="22" t="n">
        <x:f>IF(K42="","",IFERROR(VLOOKUP(K42,Listas!$G$2:$J$8,4,FALSE),0))</x:f>
        <x:v>6250000</x:v>
      </x:c>
      <x:c r="U42" s="23" t="n">
        <x:f>IFERROR(H42/T42,0)</x:f>
        <x:v>0</x:v>
      </x:c>
      <x:c r="V42" s="20" t="str"/>
    </x:row>
    <x:row r="43">
      <x:c r="A43" s="20" t="str">
        <x:v>Semana Finda</x:v>
      </x:c>
      <x:c r="B43" s="20" t="n">
        <x:v>11</x:v>
      </x:c>
      <x:c r="C43" s="21" t="n">
        <x:v>46211</x:v>
      </x:c>
      <x:c r="D43" s="20" t="str">
        <x:v>DUBAI INVESTIMETS</x:v>
      </x:c>
      <x:c r="E43" s="20" t="str">
        <x:v>Fornecimento de Flyrs</x:v>
      </x:c>
      <x:c r="F43" s="20" t="str">
        <x:v>Proposta enviada</x:v>
      </x:c>
      <x:c r="G43" s="22" t="n">
        <x:v>3249000</x:v>
      </x:c>
      <x:c r="H43" s="22" t="n">
        <x:v>0</x:v>
      </x:c>
      <x:c r="I43" s="22" t="n">
        <x:v>0</x:v>
      </x:c>
      <x:c r="J43" s="23" t="n">
        <x:v>0.4</x:v>
      </x:c>
      <x:c r="K43" s="20" t="str">
        <x:v>Amélia Cassinda</x:v>
      </x:c>
      <x:c r="L43" s="20" t="str">
        <x:v>Apresentar amostras Físicas e acompanhar o processo </x:v>
      </x:c>
      <x:c r="M43" s="21" t="n">
        <x:v>46216</x:v>
      </x:c>
      <x:c r="N43" s="20" t="str">
        <x:v>Proposta remetida para avaliação</x:v>
      </x:c>
      <x:c r="O43" s="24" t="n">
        <x:f>IF(C43="","",MAX(0,TODAY()-C43))</x:f>
        <x:v>5</x:v>
      </x:c>
      <x:c r="P43" s="22" t="n">
        <x:f>IF(OR(G43="",J43=""),"",G43*J43)</x:f>
        <x:v>1299600</x:v>
      </x:c>
      <x:c r="Q43" s="20" t="str">
        <x:v>C</x:v>
      </x:c>
      <x:c r="R43" s="20" t="str">
        <x:v>Normal</x:v>
      </x:c>
      <x:c r="S43" s="20" t="str">
        <x:v>Aberto</x:v>
      </x:c>
      <x:c r="T43" s="22" t="n">
        <x:f>IF(K43="","",IFERROR(VLOOKUP(K43,Listas!$G$2:$J$8,4,FALSE),0))</x:f>
        <x:v>6250000</x:v>
      </x:c>
      <x:c r="U43" s="23" t="n">
        <x:f>IFERROR(H43/T43,0)</x:f>
        <x:v>0</x:v>
      </x:c>
      <x:c r="V43" s="20" t="str"/>
    </x:row>
    <x:row r="44">
      <x:c r="A44" s="20" t="str">
        <x:v>Semana Finda</x:v>
      </x:c>
      <x:c r="B44" s="20" t="n">
        <x:v>12</x:v>
      </x:c>
      <x:c r="C44" s="21" t="n">
        <x:v>46209</x:v>
      </x:c>
      <x:c r="D44" s="20" t="str">
        <x:v>BCGA</x:v>
      </x:c>
      <x:c r="E44" s="20" t="str">
        <x:v>Fornecimento de Lenços e gravatas</x:v>
      </x:c>
      <x:c r="F44" s="20" t="str">
        <x:v>Perdida</x:v>
      </x:c>
      <x:c r="G44" s="22" t="n">
        <x:v>9095000</x:v>
      </x:c>
      <x:c r="H44" s="22" t="n">
        <x:v>0</x:v>
      </x:c>
      <x:c r="I44" s="22" t="n">
        <x:v>9095000</x:v>
      </x:c>
      <x:c r="J44" s="23" t="n">
        <x:v>0</x:v>
      </x:c>
      <x:c r="K44" s="20" t="str">
        <x:v>Amélia Cassinda</x:v>
      </x:c>
      <x:c r="L44" s="20" t="str">
        <x:v>Apresentação de disponibilidade para futurod projectos</x:v>
      </x:c>
      <x:c r="M44" s="21" t="n">
        <x:v>46216</x:v>
      </x:c>
      <x:c r="N44" s="20" t="str">
        <x:v>Proposta rejeitada, por causa do tempo de produção e pelo fornecedor não ter o mesmo tecido</x:v>
      </x:c>
      <x:c r="O44" s="24" t="n">
        <x:f>IF(C44="","",MAX(0,TODAY()-C44))</x:f>
        <x:v>7</x:v>
      </x:c>
      <x:c r="P44" s="22" t="str">
        <x:f>IF(OR(G44="",J44=""),"",G44*J44)</x:f>
      </x:c>
      <x:c r="Q44" s="20" t="str">
        <x:v>C</x:v>
      </x:c>
      <x:c r="R44" s="20" t="str">
        <x:v>Média</x:v>
      </x:c>
      <x:c r="S44" s="20" t="str">
        <x:v>Fechado perdido</x:v>
      </x:c>
      <x:c r="T44" s="22" t="n">
        <x:f>IF(K44="","",IFERROR(VLOOKUP(K44,Listas!$G$2:$J$8,4,FALSE),0))</x:f>
        <x:v>6250000</x:v>
      </x:c>
      <x:c r="U44" s="23" t="n">
        <x:f>IFERROR(H44/T44,0)</x:f>
        <x:v>0</x:v>
      </x:c>
      <x:c r="V44" s="20" t="str"/>
    </x:row>
    <x:row r="45">
      <x:c r="A45" s="20" t="str">
        <x:v>Semana Finda</x:v>
      </x:c>
      <x:c r="B45" s="20" t="n">
        <x:v>13</x:v>
      </x:c>
      <x:c r="C45" s="21" t="n">
        <x:v>46206</x:v>
      </x:c>
      <x:c r="D45" s="20" t="str">
        <x:v>BCGA</x:v>
      </x:c>
      <x:c r="E45" s="20" t="str">
        <x:v>Fornecimento de Fita Tulyy</x:v>
      </x:c>
      <x:c r="F45" s="20" t="str">
        <x:v>Perdida</x:v>
      </x:c>
      <x:c r="G45" s="22" t="n">
        <x:v>2684700</x:v>
      </x:c>
      <x:c r="H45" s="22" t="n">
        <x:v>0</x:v>
      </x:c>
      <x:c r="I45" s="22" t="n">
        <x:v>2684700</x:v>
      </x:c>
      <x:c r="J45" s="23" t="n">
        <x:v>0</x:v>
      </x:c>
      <x:c r="K45" s="20" t="str">
        <x:v>Amélia Cassinda</x:v>
      </x:c>
      <x:c r="L45" s="20" t="str">
        <x:v>Apresentação de disponibilidade para futurod projectos</x:v>
      </x:c>
      <x:c r="M45" s="21" t="n">
        <x:v>46216</x:v>
      </x:c>
      <x:c r="N45" s="20" t="str">
        <x:v>Proposta reajustada por falta de amostras físicas </x:v>
      </x:c>
      <x:c r="O45" s="24" t="n">
        <x:f>IF(C45="","",MAX(0,TODAY()-C45))</x:f>
        <x:v>10</x:v>
      </x:c>
      <x:c r="P45" s="22" t="str">
        <x:f>IF(OR(G45="",J45=""),"",G45*J45)</x:f>
      </x:c>
      <x:c r="Q45" s="20" t="str">
        <x:v>A</x:v>
      </x:c>
      <x:c r="R45" s="20" t="str">
        <x:v>Normal</x:v>
      </x:c>
      <x:c r="S45" s="20" t="str">
        <x:v>Fechado perdido</x:v>
      </x:c>
      <x:c r="T45" s="22" t="n">
        <x:f>IF(K45="","",IFERROR(VLOOKUP(K45,Listas!$G$2:$J$8,4,FALSE),0))</x:f>
        <x:v>6250000</x:v>
      </x:c>
      <x:c r="U45" s="23" t="n">
        <x:f>IFERROR(H45/T45,0)</x:f>
        <x:v>0</x:v>
      </x:c>
      <x:c r="V45" s="20" t="str"/>
    </x:row>
    <x:row r="46">
      <x:c r="A46" s="20" t="str">
        <x:v>Semana Finda</x:v>
      </x:c>
      <x:c r="B46" s="20" t="n">
        <x:v>14</x:v>
      </x:c>
      <x:c r="C46" s="21" t="n">
        <x:v>46210</x:v>
      </x:c>
      <x:c r="D46" s="20" t="str">
        <x:v>NOSSA SEGUROS</x:v>
      </x:c>
      <x:c r="E46" s="20" t="str">
        <x:v>Fornecimento de Material para filda </x:v>
      </x:c>
      <x:c r="F46" s="20" t="str">
        <x:v>Proposta aprovada</x:v>
      </x:c>
      <x:c r="G46" s="22" t="n">
        <x:v>2809820</x:v>
      </x:c>
      <x:c r="H46" s="22" t="n">
        <x:v>2809820</x:v>
      </x:c>
      <x:c r="I46" s="22" t="n">
        <x:v>0</x:v>
      </x:c>
      <x:c r="J46" s="23" t="n">
        <x:v>1</x:v>
      </x:c>
      <x:c r="K46" s="20" t="str">
        <x:v>Marta de Oliveira</x:v>
      </x:c>
      <x:c r="L46" s="20" t="str">
        <x:v>Dar inicio ao processo de produção</x:v>
      </x:c>
      <x:c r="M46" s="21" t="n">
        <x:v>46216</x:v>
      </x:c>
      <x:c r="N46" s="20" t="str">
        <x:v>Acompanhar o processo até ao fecho para assegurar a entrega na data prevista</x:v>
      </x:c>
      <x:c r="O46" s="24" t="n">
        <x:f>IF(C46="","",MAX(0,TODAY()-C46))</x:f>
        <x:v>6</x:v>
      </x:c>
      <x:c r="P46" s="22" t="n">
        <x:f>IF(OR(G46="",J46=""),"",G46*J46)</x:f>
        <x:v>2809820</x:v>
      </x:c>
      <x:c r="Q46" s="20" t="str">
        <x:v>A</x:v>
      </x:c>
      <x:c r="R46" s="20" t="str">
        <x:v>Alta</x:v>
      </x:c>
      <x:c r="S46" s="20" t="str">
        <x:v>Fechado ganho</x:v>
      </x:c>
      <x:c r="T46" s="22" t="n">
        <x:f>IF(K46="","",IFERROR(VLOOKUP(K46,Listas!$G$2:$J$8,4,FALSE),0))</x:f>
        <x:v>6250000</x:v>
      </x:c>
      <x:c r="U46" s="23" t="n">
        <x:f>IFERROR(H46/T46,0)</x:f>
        <x:v>0.4495712</x:v>
      </x:c>
      <x:c r="V46" s="20" t="str"/>
    </x:row>
    <x:row r="47">
      <x:c r="A47" s="20" t="str">
        <x:v>Semana Finda</x:v>
      </x:c>
      <x:c r="B47" s="20" t="n">
        <x:v>15</x:v>
      </x:c>
      <x:c r="C47" s="21" t="n">
        <x:v>46209</x:v>
      </x:c>
      <x:c r="D47" s="20" t="str">
        <x:v>ATO</x:v>
      </x:c>
      <x:c r="E47" s="20" t="str">
        <x:v>Fornecimento  de brindes para Filda</x:v>
      </x:c>
      <x:c r="F47" s="20" t="str">
        <x:v>Proposta aprovada</x:v>
      </x:c>
      <x:c r="G47" s="22" t="n">
        <x:v>7695000</x:v>
      </x:c>
      <x:c r="H47" s="22" t="n">
        <x:v>7695000</x:v>
      </x:c>
      <x:c r="I47" s="22" t="n">
        <x:v>0</x:v>
      </x:c>
      <x:c r="J47" s="23" t="n">
        <x:v>1</x:v>
      </x:c>
      <x:c r="K47" s="20" t="str">
        <x:v>Marta de Oliveira</x:v>
      </x:c>
      <x:c r="L47" s="20" t="str">
        <x:v>Dar inicio ao processo de produção</x:v>
      </x:c>
      <x:c r="M47" s="21" t="n">
        <x:v>46216</x:v>
      </x:c>
      <x:c r="N47" s="20" t="str">
        <x:v>Acompanhar o processo até ao fecho para assegurar a entrega na data prevista</x:v>
      </x:c>
      <x:c r="O47" s="24" t="n">
        <x:f>IF(C47="","",MAX(0,TODAY()-C47))</x:f>
        <x:v>7</x:v>
      </x:c>
      <x:c r="P47" s="22" t="n">
        <x:f>IF(OR(G47="",J47=""),"",G47*J47)</x:f>
        <x:v>7695000</x:v>
      </x:c>
      <x:c r="Q47" s="20" t="str">
        <x:v>C</x:v>
      </x:c>
      <x:c r="R47" s="20" t="str">
        <x:v>Alta</x:v>
      </x:c>
      <x:c r="S47" s="20" t="str">
        <x:v>Fechado ganho</x:v>
      </x:c>
      <x:c r="T47" s="22" t="n">
        <x:f>IF(K47="","",IFERROR(VLOOKUP(K47,Listas!$G$2:$J$8,4,FALSE),0))</x:f>
        <x:v>6250000</x:v>
      </x:c>
      <x:c r="U47" s="23" t="n">
        <x:f>IFERROR(H47/T47,0)</x:f>
        <x:v>1.2312</x:v>
      </x:c>
      <x:c r="V47" s="20" t="str"/>
    </x:row>
    <x:row r="48">
      <x:c r="A48" s="20" t="str">
        <x:v>Semana Finda</x:v>
      </x:c>
      <x:c r="B48" s="20" t="n">
        <x:v>16</x:v>
      </x:c>
      <x:c r="C48" s="21" t="n">
        <x:v>46212</x:v>
      </x:c>
      <x:c r="D48" s="20" t="str">
        <x:v>AFRICANA</x:v>
      </x:c>
      <x:c r="E48" s="20" t="str">
        <x:v>Fornecimento de material de letras monobloco</x:v>
      </x:c>
      <x:c r="F48" s="20" t="str">
        <x:v>Proposta em negociação</x:v>
      </x:c>
      <x:c r="G48" s="22" t="n">
        <x:v>12398174.88</x:v>
      </x:c>
      <x:c r="H48" s="22" t="n">
        <x:v>0</x:v>
      </x:c>
      <x:c r="I48" s="22" t="n">
        <x:v>0</x:v>
      </x:c>
      <x:c r="J48" s="23" t="n">
        <x:v>0.5</x:v>
      </x:c>
      <x:c r="K48" s="20" t="str">
        <x:v>Marta de Oliveira</x:v>
      </x:c>
      <x:c r="L48" s="20" t="str">
        <x:v>Acompanhamento do Processo até o fecho</x:v>
      </x:c>
      <x:c r="M48" s="21" t="n">
        <x:v>46216</x:v>
      </x:c>
      <x:c r="N48" s="20" t="str">
        <x:v>Proposta remetida para avaliação</x:v>
      </x:c>
      <x:c r="O48" s="24" t="n">
        <x:f>IF(C48="","",MAX(0,TODAY()-C48))</x:f>
        <x:v>4</x:v>
      </x:c>
      <x:c r="P48" s="22" t="n">
        <x:f>IF(OR(G48="",J48=""),"",G48*J48)</x:f>
        <x:v>6199087.44</x:v>
      </x:c>
      <x:c r="Q48" s="20" t="str">
        <x:v>B</x:v>
      </x:c>
      <x:c r="R48" s="20" t="str">
        <x:v>Média</x:v>
      </x:c>
      <x:c r="S48" s="20" t="str">
        <x:v>Aberto</x:v>
      </x:c>
      <x:c r="T48" s="22" t="n">
        <x:f>IF(K48="","",IFERROR(VLOOKUP(K48,Listas!$G$2:$J$8,4,FALSE),0))</x:f>
        <x:v>6250000</x:v>
      </x:c>
      <x:c r="U48" s="23" t="n">
        <x:f>IFERROR(H48/T48,0)</x:f>
        <x:v>0</x:v>
      </x:c>
      <x:c r="V48" s="20" t="str"/>
    </x:row>
    <x:row r="49">
      <x:c r="A49" s="20" t="str">
        <x:v>Semana Finda</x:v>
      </x:c>
      <x:c r="B49" s="20" t="n">
        <x:v>17</x:v>
      </x:c>
      <x:c r="C49" s="21" t="n">
        <x:v>46210</x:v>
      </x:c>
      <x:c r="D49" s="20" t="str">
        <x:v>DISBRA</x:v>
      </x:c>
      <x:c r="E49" s="20" t="str">
        <x:v>Fornecimento de sacolas e folhetos</x:v>
      </x:c>
      <x:c r="F49" s="20" t="str">
        <x:v>Proposta aprovada</x:v>
      </x:c>
      <x:c r="G49" s="22" t="n">
        <x:v>222300</x:v>
      </x:c>
      <x:c r="H49" s="22" t="n">
        <x:v>222300</x:v>
      </x:c>
      <x:c r="I49" s="22" t="n">
        <x:v>0</x:v>
      </x:c>
      <x:c r="J49" s="23" t="n">
        <x:v>1</x:v>
      </x:c>
      <x:c r="K49" s="20" t="str">
        <x:v>Marta de Oliveira</x:v>
      </x:c>
      <x:c r="L49" s="20" t="str">
        <x:v>Pressionar o envio das artes</x:v>
      </x:c>
      <x:c r="M49" s="21" t="n">
        <x:v>46216</x:v>
      </x:c>
      <x:c r="N49" s="20" t="str">
        <x:v>No aguardo das artes para produção</x:v>
      </x:c>
      <x:c r="O49" s="24" t="n">
        <x:f>IF(C49="","",MAX(0,TODAY()-C49))</x:f>
        <x:v>6</x:v>
      </x:c>
      <x:c r="P49" s="22" t="n">
        <x:f>IF(OR(G49="",J49=""),"",G49*J49)</x:f>
        <x:v>222300</x:v>
      </x:c>
      <x:c r="Q49" s="20" t="str">
        <x:v>B</x:v>
      </x:c>
      <x:c r="R49" s="20" t="str">
        <x:v>Alta</x:v>
      </x:c>
      <x:c r="S49" s="20" t="str">
        <x:v>Fechado ganho</x:v>
      </x:c>
      <x:c r="T49" s="22" t="n">
        <x:f>IF(K49="","",IFERROR(VLOOKUP(K49,Listas!$G$2:$J$8,4,FALSE),0))</x:f>
        <x:v>6250000</x:v>
      </x:c>
      <x:c r="U49" s="23" t="n">
        <x:f>IFERROR(H49/T49,0)</x:f>
        <x:v>0.035568</x:v>
      </x:c>
      <x:c r="V49" s="20" t="str"/>
    </x:row>
    <x:row r="50">
      <x:c r="A50" s="20" t="str">
        <x:v>Semana Finda</x:v>
      </x:c>
      <x:c r="B50" s="20" t="n">
        <x:v>18</x:v>
      </x:c>
      <x:c r="C50" s="21" t="n">
        <x:v>46210</x:v>
      </x:c>
      <x:c r="D50" s="20" t="str">
        <x:v>PRODEL</x:v>
      </x:c>
      <x:c r="E50" s="20" t="str">
        <x:v>Fornecimento de Tapetes</x:v>
      </x:c>
      <x:c r="F50" s="20" t="str">
        <x:v>Proposta enviada</x:v>
      </x:c>
      <x:c r="G50" s="22" t="n">
        <x:v>28581282</x:v>
      </x:c>
      <x:c r="H50" s="22" t="n">
        <x:v>0</x:v>
      </x:c>
      <x:c r="I50" s="22" t="n">
        <x:v>0</x:v>
      </x:c>
      <x:c r="J50" s="23" t="n">
        <x:v>0.5</x:v>
      </x:c>
      <x:c r="K50" s="20" t="str">
        <x:v>José Neto</x:v>
      </x:c>
      <x:c r="L50" s="20" t="str">
        <x:v>Negociar com o cliente, considerar a possibilidade de desconto, marcar uma reunião</x:v>
      </x:c>
      <x:c r="M50" s="21" t="n">
        <x:v>46216</x:v>
      </x:c>
      <x:c r="N50" s="20" t="str">
        <x:v>Proposta remetida para avaliação</x:v>
      </x:c>
      <x:c r="O50" s="24" t="n">
        <x:f>IF(C50="","",MAX(0,TODAY()-C50))</x:f>
        <x:v>6</x:v>
      </x:c>
      <x:c r="P50" s="22" t="n">
        <x:f>IF(OR(G50="",J50=""),"",G50*J50)</x:f>
        <x:v>14290641</x:v>
      </x:c>
      <x:c r="Q50" s="20" t="str">
        <x:v>C</x:v>
      </x:c>
      <x:c r="R50" s="20" t="str">
        <x:v>Média</x:v>
      </x:c>
      <x:c r="S50" s="20" t="str">
        <x:v>Aberto</x:v>
      </x:c>
      <x:c r="T50" s="22" t="n">
        <x:f>IF(K50="","",IFERROR(VLOOKUP(K50,Listas!$G$2:$J$8,4,FALSE),0))</x:f>
        <x:v>5000000</x:v>
      </x:c>
      <x:c r="U50" s="23" t="n">
        <x:f>IFERROR(H50/T50,0)</x:f>
        <x:v>0</x:v>
      </x:c>
      <x:c r="V50" s="20" t="str"/>
    </x:row>
    <x:row r="51">
      <x:c r="A51" s="20" t="str">
        <x:v>Semana Finda</x:v>
      </x:c>
      <x:c r="B51" s="20" t="n">
        <x:v>19</x:v>
      </x:c>
      <x:c r="C51" s="21" t="n">
        <x:v>46211</x:v>
      </x:c>
      <x:c r="D51" s="20" t="str">
        <x:v>JUMUCUZA</x:v>
      </x:c>
      <x:c r="E51" s="20" t="str">
        <x:v>Fornecimento de protedores auditivos</x:v>
      </x:c>
      <x:c r="F51" s="20" t="str">
        <x:v>Proposta enviada</x:v>
      </x:c>
      <x:c r="G51" s="22" t="n">
        <x:v>953610</x:v>
      </x:c>
      <x:c r="H51" s="22" t="n">
        <x:v>0</x:v>
      </x:c>
      <x:c r="I51" s="22" t="n">
        <x:v>0</x:v>
      </x:c>
      <x:c r="J51" s="23" t="n">
        <x:v>0.4</x:v>
      </x:c>
      <x:c r="K51" s="20" t="str">
        <x:v>José Neto</x:v>
      </x:c>
      <x:c r="L51" s="20" t="str">
        <x:v>Solicitar o ponto de situação da proposta </x:v>
      </x:c>
      <x:c r="M51" s="21" t="n">
        <x:v>46216</x:v>
      </x:c>
      <x:c r="N51" s="20" t="str">
        <x:v>Proposta remetida para avaliação, juntos com as ficha técnica </x:v>
      </x:c>
      <x:c r="O51" s="24" t="n">
        <x:f>IF(C51="","",MAX(0,TODAY()-C51))</x:f>
        <x:v>5</x:v>
      </x:c>
      <x:c r="P51" s="22" t="n">
        <x:f>IF(OR(G51="",J51=""),"",G51*J51)</x:f>
        <x:v>381444</x:v>
      </x:c>
      <x:c r="Q51" s="20" t="str">
        <x:v>C</x:v>
      </x:c>
      <x:c r="R51" s="20" t="str">
        <x:v>Normal</x:v>
      </x:c>
      <x:c r="S51" s="20" t="str">
        <x:v>Aberto</x:v>
      </x:c>
      <x:c r="T51" s="22" t="n">
        <x:f>IF(K51="","",IFERROR(VLOOKUP(K51,Listas!$G$2:$J$8,4,FALSE),0))</x:f>
        <x:v>5000000</x:v>
      </x:c>
      <x:c r="U51" s="23" t="n">
        <x:f>IFERROR(H51/T51,0)</x:f>
        <x:v>0</x:v>
      </x:c>
      <x:c r="V51" s="20" t="str"/>
    </x:row>
    <x:row r="52">
      <x:c r="A52" s="20" t="str">
        <x:v>Semana Finda</x:v>
      </x:c>
      <x:c r="B52" s="20" t="n">
        <x:v>20</x:v>
      </x:c>
      <x:c r="C52" s="21" t="n">
        <x:v>46213</x:v>
      </x:c>
      <x:c r="D52" s="20" t="str">
        <x:v>CERTAVE</x:v>
      </x:c>
      <x:c r="E52" s="20" t="str">
        <x:v>Fornecimento de sinaletica</x:v>
      </x:c>
      <x:c r="F52" s="20" t="str">
        <x:v>Proposta enviada</x:v>
      </x:c>
      <x:c r="G52" s="22" t="n">
        <x:v>1997394</x:v>
      </x:c>
      <x:c r="H52" s="22" t="n">
        <x:v>0</x:v>
      </x:c>
      <x:c r="I52" s="22" t="n">
        <x:v>0</x:v>
      </x:c>
      <x:c r="J52" s="23" t="n">
        <x:v>0.4</x:v>
      </x:c>
      <x:c r="K52" s="20" t="str">
        <x:v>José Neto</x:v>
      </x:c>
      <x:c r="L52" s="20" t="str">
        <x:v>Monitorizar o proc. De adjudicação e manter disponibilidade para envetuais ajustes</x:v>
      </x:c>
      <x:c r="M52" s="21" t="n">
        <x:v>46216</x:v>
      </x:c>
      <x:c r="N52" s="20" t="str">
        <x:v>Proposta remetida para avaliação, juntos com as ficha técnica </x:v>
      </x:c>
      <x:c r="O52" s="24" t="n">
        <x:f>IF(C52="","",MAX(0,TODAY()-C52))</x:f>
        <x:v>3</x:v>
      </x:c>
      <x:c r="P52" s="22" t="n">
        <x:f>IF(OR(G52="",J52=""),"",G52*J52)</x:f>
        <x:v>798957.6000000001</x:v>
      </x:c>
      <x:c r="Q52" s="20" t="str">
        <x:v>C</x:v>
      </x:c>
      <x:c r="R52" s="20" t="str">
        <x:v>Normal</x:v>
      </x:c>
      <x:c r="S52" s="20" t="str">
        <x:v>Aberto</x:v>
      </x:c>
      <x:c r="T52" s="22" t="n">
        <x:f>IF(K52="","",IFERROR(VLOOKUP(K52,Listas!$G$2:$J$8,4,FALSE),0))</x:f>
        <x:v>5000000</x:v>
      </x:c>
      <x:c r="U52" s="23" t="n">
        <x:f>IFERROR(H52/T52,0)</x:f>
        <x:v>0</x:v>
      </x:c>
      <x:c r="V52" s="20" t="str"/>
    </x:row>
    <x:row r="53">
      <x:c r="A53" s="20" t="str">
        <x:v>Semana Finda</x:v>
      </x:c>
      <x:c r="B53" s="20" t="n">
        <x:v>21</x:v>
      </x:c>
      <x:c r="C53" s="21" t="n">
        <x:v>46211</x:v>
      </x:c>
      <x:c r="D53" s="20" t="str">
        <x:v>DP-WORLD</x:v>
      </x:c>
      <x:c r="E53" s="20" t="str">
        <x:v>Fornecimeto de Brindes</x:v>
      </x:c>
      <x:c r="F53" s="20" t="str">
        <x:v>Proposta aprovada</x:v>
      </x:c>
      <x:c r="G53" s="22" t="n">
        <x:v>3024990</x:v>
      </x:c>
      <x:c r="H53" s="22" t="n">
        <x:v>3024990</x:v>
      </x:c>
      <x:c r="I53" s="22" t="n">
        <x:v>0</x:v>
      </x:c>
      <x:c r="J53" s="23" t="n">
        <x:v>1</x:v>
      </x:c>
      <x:c r="K53" s="20" t="str">
        <x:v>David Guedes</x:v>
      </x:c>
      <x:c r="L53" s="20" t="str">
        <x:v>Aguardar pelo envio das artes</x:v>
      </x:c>
      <x:c r="M53" s="21" t="n">
        <x:v>46216</x:v>
      </x:c>
      <x:c r="N53" s="20" t="str">
        <x:v>Entrega prevista para o dia 13 do mês corrente</x:v>
      </x:c>
      <x:c r="O53" s="24" t="n">
        <x:f>IF(C53="","",MAX(0,TODAY()-C53))</x:f>
        <x:v>5</x:v>
      </x:c>
      <x:c r="P53" s="22" t="n">
        <x:f>IF(OR(G53="",J53=""),"",G53*J53)</x:f>
        <x:v>3024990</x:v>
      </x:c>
      <x:c r="Q53" s="20" t="str">
        <x:v>C</x:v>
      </x:c>
      <x:c r="R53" s="20" t="str">
        <x:v>Alta</x:v>
      </x:c>
      <x:c r="S53" s="20" t="str">
        <x:v>Fechado ganho</x:v>
      </x:c>
      <x:c r="T53" s="22" t="n">
        <x:f>IF(K53="","",IFERROR(VLOOKUP(K53,Listas!$G$2:$J$8,4,FALSE),0))</x:f>
        <x:v>3750000</x:v>
      </x:c>
      <x:c r="U53" s="23" t="n">
        <x:f>IFERROR(H53/T53,0)</x:f>
        <x:v>0.806664</x:v>
      </x:c>
      <x:c r="V53" s="20" t="str"/>
    </x:row>
    <x:row r="54">
      <x:c r="A54" s="20" t="str">
        <x:v>Semana Finda</x:v>
      </x:c>
      <x:c r="B54" s="20" t="n">
        <x:v>22</x:v>
      </x:c>
      <x:c r="C54" s="21" t="n">
        <x:v>46213</x:v>
      </x:c>
      <x:c r="D54" s="20" t="str">
        <x:v>RHUANITO</x:v>
      </x:c>
      <x:c r="E54" s="20" t="str">
        <x:v>Fornecimento de Flyres e têxtil</x:v>
      </x:c>
      <x:c r="F54" s="20" t="str">
        <x:v>Proposta em negociação</x:v>
      </x:c>
      <x:c r="G54" s="22" t="n">
        <x:v>687420</x:v>
      </x:c>
      <x:c r="H54" s="22" t="n">
        <x:v>0</x:v>
      </x:c>
      <x:c r="I54" s="22" t="n">
        <x:v>0</x:v>
      </x:c>
      <x:c r="J54" s="23" t="n">
        <x:v>0.8</x:v>
      </x:c>
      <x:c r="K54" s="20" t="str">
        <x:v>David Guedes</x:v>
      </x:c>
      <x:c r="L54" s="20" t="str">
        <x:v>Solicitar o ponto de situação da proposta </x:v>
      </x:c>
      <x:c r="M54" s="21" t="n">
        <x:v>46216</x:v>
      </x:c>
      <x:c r="N54" s="20" t="str">
        <x:v>Proposta remetida para avaliação</x:v>
      </x:c>
      <x:c r="O54" s="24" t="n">
        <x:f>IF(C54="","",MAX(0,TODAY()-C54))</x:f>
        <x:v>3</x:v>
      </x:c>
      <x:c r="P54" s="22" t="n">
        <x:f>IF(OR(G54="",J54=""),"",G54*J54)</x:f>
        <x:v>549936</x:v>
      </x:c>
      <x:c r="Q54" s="20" t="str">
        <x:v>C</x:v>
      </x:c>
      <x:c r="R54" s="20" t="str">
        <x:v>Alta</x:v>
      </x:c>
      <x:c r="S54" s="20" t="str">
        <x:v>Aberto</x:v>
      </x:c>
      <x:c r="T54" s="22" t="n">
        <x:f>IF(K54="","",IFERROR(VLOOKUP(K54,Listas!$G$2:$J$8,4,FALSE),0))</x:f>
        <x:v>3750000</x:v>
      </x:c>
      <x:c r="U54" s="23" t="n">
        <x:f>IFERROR(H54/T54,0)</x:f>
        <x:v>0</x:v>
      </x:c>
      <x:c r="V54" s="20" t="str"/>
    </x:row>
    <x:row r="55">
      <x:c r="A55" s="20" t="str">
        <x:v>Semana Finda</x:v>
      </x:c>
      <x:c r="B55" s="20" t="n">
        <x:v>23</x:v>
      </x:c>
      <x:c r="C55" s="21" t="n">
        <x:v>46213</x:v>
      </x:c>
      <x:c r="D55" s="20" t="str">
        <x:v>KERO</x:v>
      </x:c>
      <x:c r="E55" s="20" t="str">
        <x:v>Fornecimeto de Brindes</x:v>
      </x:c>
      <x:c r="F55" s="20" t="str">
        <x:v>Proposta enviada</x:v>
      </x:c>
      <x:c r="G55" s="22" t="n">
        <x:v>221160</x:v>
      </x:c>
      <x:c r="H55" s="22" t="n">
        <x:v>0</x:v>
      </x:c>
      <x:c r="I55" s="22" t="n">
        <x:v>0</x:v>
      </x:c>
      <x:c r="J55" s="23" t="n">
        <x:v>0.4</x:v>
      </x:c>
      <x:c r="K55" s="20" t="str">
        <x:v>David Guedes</x:v>
      </x:c>
      <x:c r="L55" s="20" t="str">
        <x:v>Solicitar o ponto de situação da proposta </x:v>
      </x:c>
      <x:c r="M55" s="21" t="n">
        <x:v>46216</x:v>
      </x:c>
      <x:c r="N55" s="20" t="str">
        <x:v>Proposta remetida para avaliação</x:v>
      </x:c>
      <x:c r="O55" s="24" t="n">
        <x:f>IF(C55="","",MAX(0,TODAY()-C55))</x:f>
        <x:v>3</x:v>
      </x:c>
      <x:c r="P55" s="22" t="n">
        <x:f>IF(OR(G55="",J55=""),"",G55*J55)</x:f>
        <x:v>88464</x:v>
      </x:c>
      <x:c r="Q55" s="20" t="str">
        <x:v>C</x:v>
      </x:c>
      <x:c r="R55" s="20" t="str">
        <x:v>Normal</x:v>
      </x:c>
      <x:c r="S55" s="20" t="str">
        <x:v>Aberto</x:v>
      </x:c>
      <x:c r="T55" s="22" t="n">
        <x:f>IF(K55="","",IFERROR(VLOOKUP(K55,Listas!$G$2:$J$8,4,FALSE),0))</x:f>
        <x:v>3750000</x:v>
      </x:c>
      <x:c r="U55" s="23" t="n">
        <x:f>IFERROR(H55/T55,0)</x:f>
        <x:v>0</x:v>
      </x:c>
      <x:c r="V55" s="20" t="str"/>
    </x:row>
    <x:row r="56">
      <x:c r="A56" s="20" t="str">
        <x:v>Semana Finda</x:v>
      </x:c>
      <x:c r="B56" s="20" t="n">
        <x:v>24</x:v>
      </x:c>
      <x:c r="C56" s="21" t="n">
        <x:v>46210</x:v>
      </x:c>
      <x:c r="D56" s="20" t="str">
        <x:v>ACQUA GLOBAL</x:v>
      </x:c>
      <x:c r="E56" s="20" t="str">
        <x:v>Fornecimento de pins</x:v>
      </x:c>
      <x:c r="F56" s="20" t="str">
        <x:v>Proposta aprovada</x:v>
      </x:c>
      <x:c r="G56" s="22" t="n">
        <x:v>2109000</x:v>
      </x:c>
      <x:c r="H56" s="22" t="n">
        <x:v>2109000</x:v>
      </x:c>
      <x:c r="I56" s="22" t="n">
        <x:v>0</x:v>
      </x:c>
      <x:c r="J56" s="23" t="n">
        <x:v>1</x:v>
      </x:c>
      <x:c r="K56" s="20" t="str">
        <x:v>Ilídio Pedro</x:v>
      </x:c>
      <x:c r="L56" s="20" t="str">
        <x:v>Dar inicio ao processo de produção</x:v>
      </x:c>
      <x:c r="M56" s="21" t="n">
        <x:v>46216</x:v>
      </x:c>
      <x:c r="N56" s="20" t="str">
        <x:v>Acompanhar o processo até ao fecho para assegurar a entrega na data prevista</x:v>
      </x:c>
      <x:c r="O56" s="24" t="n">
        <x:f>IF(C56="","",MAX(0,TODAY()-C56))</x:f>
        <x:v>6</x:v>
      </x:c>
      <x:c r="P56" s="22" t="n">
        <x:f>IF(OR(G56="",J56=""),"",G56*J56)</x:f>
        <x:v>2109000</x:v>
      </x:c>
      <x:c r="Q56" s="20" t="str">
        <x:v>C</x:v>
      </x:c>
      <x:c r="R56" s="20" t="str">
        <x:v>Alta</x:v>
      </x:c>
      <x:c r="S56" s="20" t="str">
        <x:v>Fechado ganho</x:v>
      </x:c>
      <x:c r="T56" s="22" t="n">
        <x:f>IF(K56="","",IFERROR(VLOOKUP(K56,Listas!$G$2:$J$8,4,FALSE),0))</x:f>
        <x:v>2500000</x:v>
      </x:c>
      <x:c r="U56" s="23" t="n">
        <x:f>IFERROR(H56/T56,0)</x:f>
        <x:v>0.8436</x:v>
      </x:c>
      <x:c r="V56" s="20" t="str"/>
    </x:row>
    <x:row r="57">
      <x:c r="A57" s="20" t="str">
        <x:v>Semana Finda</x:v>
      </x:c>
      <x:c r="B57" s="20" t="n">
        <x:v>25</x:v>
      </x:c>
      <x:c r="C57" s="21" t="n">
        <x:v>46209</x:v>
      </x:c>
      <x:c r="D57" s="20" t="str">
        <x:v>OMATAPALO</x:v>
      </x:c>
      <x:c r="E57" s="20" t="str">
        <x:v>Fornecimento De Placas sinaleticas</x:v>
      </x:c>
      <x:c r="F57" s="20" t="str">
        <x:v>Proposta enviada</x:v>
      </x:c>
      <x:c r="G57" s="22" t="n">
        <x:v>21909090</x:v>
      </x:c>
      <x:c r="H57" s="22" t="n">
        <x:v>0</x:v>
      </x:c>
      <x:c r="I57" s="22" t="n">
        <x:v>0</x:v>
      </x:c>
      <x:c r="J57" s="23" t="n">
        <x:v>0.2</x:v>
      </x:c>
      <x:c r="K57" s="20" t="str">
        <x:v>Ilídio Pedro</x:v>
      </x:c>
      <x:c r="L57" s="20" t="str">
        <x:v>Solicitar o ponto de situação da proposta </x:v>
      </x:c>
      <x:c r="M57" s="21" t="n">
        <x:v>46216</x:v>
      </x:c>
      <x:c r="N57" s="20" t="str">
        <x:v>O cliente não respondeu ao nosso e-mail, mas tem pouca chances de ser aprovada a nossa proposta</x:v>
      </x:c>
      <x:c r="O57" s="24" t="n">
        <x:f>IF(C57="","",MAX(0,TODAY()-C57))</x:f>
        <x:v>7</x:v>
      </x:c>
      <x:c r="P57" s="22" t="n">
        <x:f>IF(OR(G57="",J57=""),"",G57*J57)</x:f>
        <x:v>4381818</x:v>
      </x:c>
      <x:c r="Q57" s="20" t="str">
        <x:v>C</x:v>
      </x:c>
      <x:c r="R57" s="20" t="str">
        <x:v>Média</x:v>
      </x:c>
      <x:c r="S57" s="20" t="str">
        <x:v>Aberto</x:v>
      </x:c>
      <x:c r="T57" s="22" t="n">
        <x:f>IF(K57="","",IFERROR(VLOOKUP(K57,Listas!$G$2:$J$8,4,FALSE),0))</x:f>
        <x:v>2500000</x:v>
      </x:c>
      <x:c r="U57" s="23" t="n">
        <x:f>IFERROR(H57/T57,0)</x:f>
        <x:v>0</x:v>
      </x:c>
      <x:c r="V57" s="20" t="str"/>
    </x:row>
    <x:row r="58">
      <x:c r="A58" s="20" t="str">
        <x:v>Semana Finda</x:v>
      </x:c>
      <x:c r="B58" s="20" t="n">
        <x:v>26</x:v>
      </x:c>
      <x:c r="C58" s="21" t="n">
        <x:v>46211</x:v>
      </x:c>
      <x:c r="D58" s="20" t="str">
        <x:v>PURIGLASS</x:v>
      </x:c>
      <x:c r="E58" s="20" t="str">
        <x:v>Fornecimento de T-sirts, autocolantes cartão de visita</x:v>
      </x:c>
      <x:c r="F58" s="20" t="str">
        <x:v>Proposta aprovada</x:v>
      </x:c>
      <x:c r="G58" s="22" t="n">
        <x:v>706800</x:v>
      </x:c>
      <x:c r="H58" s="22" t="n">
        <x:v>706800</x:v>
      </x:c>
      <x:c r="I58" s="22" t="n">
        <x:v>0</x:v>
      </x:c>
      <x:c r="J58" s="23" t="n">
        <x:v>1</x:v>
      </x:c>
      <x:c r="K58" s="20" t="str">
        <x:v>Fernando Leite</x:v>
      </x:c>
      <x:c r="L58" s="20" t="str">
        <x:v>Entregar o material ao cliente</x:v>
      </x:c>
      <x:c r="M58" s="21" t="n">
        <x:v>46216</x:v>
      </x:c>
      <x:c r="N58" s="20" t="str">
        <x:v>Acompanhar o processo até ao fecho para assegurar a entrega na data prevista</x:v>
      </x:c>
      <x:c r="O58" s="24" t="n">
        <x:f>IF(C58="","",MAX(0,TODAY()-C58))</x:f>
        <x:v>5</x:v>
      </x:c>
      <x:c r="P58" s="22" t="n">
        <x:f>IF(OR(G58="",J58=""),"",G58*J58)</x:f>
        <x:v>706800</x:v>
      </x:c>
      <x:c r="Q58" s="20" t="str">
        <x:v>C</x:v>
      </x:c>
      <x:c r="R58" s="20" t="str">
        <x:v>Alta</x:v>
      </x:c>
      <x:c r="S58" s="20" t="str">
        <x:v>Fechado ganho</x:v>
      </x:c>
      <x:c r="T58" s="22" t="n">
        <x:f>IF(K58="","",IFERROR(VLOOKUP(K58,Listas!$G$2:$J$8,4,FALSE),0))</x:f>
        <x:v>2500000</x:v>
      </x:c>
      <x:c r="U58" s="23" t="n">
        <x:f>IFERROR(H58/T58,0)</x:f>
        <x:v>0.28272</x:v>
      </x:c>
      <x:c r="V58" s="20" t="str"/>
    </x:row>
    <x:row r="59">
      <x:c r="A59" s="20" t="str">
        <x:v>Semana Finda</x:v>
      </x:c>
      <x:c r="B59" s="20" t="n">
        <x:v>27</x:v>
      </x:c>
      <x:c r="C59" s="21" t="n">
        <x:v>46213</x:v>
      </x:c>
      <x:c r="D59" s="20" t="str">
        <x:v>5 LINHAS</x:v>
      </x:c>
      <x:c r="E59" s="20" t="str">
        <x:v>Fornecimento de diversos</x:v>
      </x:c>
      <x:c r="F59" s="20" t="str">
        <x:v>Proposta enviada</x:v>
      </x:c>
      <x:c r="G59" s="22" t="n">
        <x:v>8468775</x:v>
      </x:c>
      <x:c r="H59" s="22" t="n">
        <x:v>0</x:v>
      </x:c>
      <x:c r="I59" s="22" t="n">
        <x:v>0</x:v>
      </x:c>
      <x:c r="J59" s="23" t="n">
        <x:v>0.4</x:v>
      </x:c>
      <x:c r="K59" s="20" t="str">
        <x:v>Fernando Leite</x:v>
      </x:c>
      <x:c r="L59" s="20" t="str">
        <x:v>Solicitar o ponto de situação da proposta </x:v>
      </x:c>
      <x:c r="M59" s="21" t="n">
        <x:v>46216</x:v>
      </x:c>
      <x:c r="N59" s="20" t="str">
        <x:v>Proposta remetida para avaliação</x:v>
      </x:c>
      <x:c r="O59" s="24" t="n">
        <x:f>IF(C59="","",MAX(0,TODAY()-C59))</x:f>
        <x:v>3</x:v>
      </x:c>
      <x:c r="P59" s="22" t="n">
        <x:f>IF(OR(G59="",J59=""),"",G59*J59)</x:f>
        <x:v>3387510</x:v>
      </x:c>
      <x:c r="Q59" s="20" t="str">
        <x:v>B</x:v>
      </x:c>
      <x:c r="R59" s="20" t="str">
        <x:v>Média</x:v>
      </x:c>
      <x:c r="S59" s="20" t="str">
        <x:v>Aberto</x:v>
      </x:c>
      <x:c r="T59" s="22" t="n">
        <x:f>IF(K59="","",IFERROR(VLOOKUP(K59,Listas!$G$2:$J$8,4,FALSE),0))</x:f>
        <x:v>2500000</x:v>
      </x:c>
      <x:c r="U59" s="23" t="n">
        <x:f>IFERROR(H59/T59,0)</x:f>
        <x:v>0</x:v>
      </x:c>
      <x:c r="V59" s="20" t="str"/>
    </x:row>
    <x:row r="60">
      <x:c r="A60" s="20" t="str">
        <x:v>Semana Finda</x:v>
      </x:c>
      <x:c r="B60" s="20" t="n">
        <x:v>28</x:v>
      </x:c>
      <x:c r="C60" s="21" t="n">
        <x:v>46213</x:v>
      </x:c>
      <x:c r="D60" s="20" t="str">
        <x:v>SAAS SISTEMAS TECNOLOGIAS</x:v>
      </x:c>
      <x:c r="E60" s="20" t="str">
        <x:v>Fornecimento de passes</x:v>
      </x:c>
      <x:c r="F60" s="20" t="str">
        <x:v>Proposta aprovada</x:v>
      </x:c>
      <x:c r="G60" s="22" t="n">
        <x:v>29640</x:v>
      </x:c>
      <x:c r="H60" s="22" t="n">
        <x:v>29640</x:v>
      </x:c>
      <x:c r="I60" s="22" t="n">
        <x:v>0</x:v>
      </x:c>
      <x:c r="J60" s="23" t="n">
        <x:v>1</x:v>
      </x:c>
      <x:c r="K60" s="20" t="str">
        <x:v>Fernando Leite</x:v>
      </x:c>
      <x:c r="L60" s="20" t="str">
        <x:v>Entregar o material ao cliente</x:v>
      </x:c>
      <x:c r="M60" s="21" t="n">
        <x:v>46216</x:v>
      </x:c>
      <x:c r="N60" s="20" t="str">
        <x:v>Acompanhar o processo até ao fecho para assegurar a entrega na data prevista</x:v>
      </x:c>
      <x:c r="O60" s="24" t="n">
        <x:f>IF(C60="","",MAX(0,TODAY()-C60))</x:f>
        <x:v>3</x:v>
      </x:c>
      <x:c r="P60" s="22" t="n">
        <x:f>IF(OR(G60="",J60=""),"",G60*J60)</x:f>
        <x:v>29640</x:v>
      </x:c>
      <x:c r="Q60" s="20" t="str">
        <x:v>C</x:v>
      </x:c>
      <x:c r="R60" s="20" t="str">
        <x:v>Alta</x:v>
      </x:c>
      <x:c r="S60" s="20" t="str">
        <x:v>Fechado ganho</x:v>
      </x:c>
      <x:c r="T60" s="22" t="n">
        <x:f>IF(K60="","",IFERROR(VLOOKUP(K60,Listas!$G$2:$J$8,4,FALSE),0))</x:f>
        <x:v>2500000</x:v>
      </x:c>
      <x:c r="U60" s="23" t="n">
        <x:f>IFERROR(H60/T60,0)</x:f>
        <x:v>0.011856</x:v>
      </x:c>
      <x:c r="V60" s="20" t="str"/>
    </x:row>
    <x:row r="61">
      <x:c r="A61" s="20" t="str">
        <x:v>Semana Finda</x:v>
      </x:c>
      <x:c r="B61" s="20" t="n">
        <x:v>29</x:v>
      </x:c>
      <x:c r="C61" s="21" t="n">
        <x:v>46208</x:v>
      </x:c>
      <x:c r="D61" s="20" t="str">
        <x:v>GRUPO CAJUEIRO</x:v>
      </x:c>
      <x:c r="E61" s="20" t="str">
        <x:v>Fornecimento de cartões de visitas</x:v>
      </x:c>
      <x:c r="F61" s="20" t="str">
        <x:v>Proposta aprovada</x:v>
      </x:c>
      <x:c r="G61" s="22" t="n">
        <x:v>193800</x:v>
      </x:c>
      <x:c r="H61" s="22" t="n">
        <x:v>193800</x:v>
      </x:c>
      <x:c r="I61" s="22" t="n">
        <x:v>0</x:v>
      </x:c>
      <x:c r="J61" s="23" t="n">
        <x:v>1</x:v>
      </x:c>
      <x:c r="K61" s="20" t="str">
        <x:v>Fernando Leite</x:v>
      </x:c>
      <x:c r="L61" s="20" t="str">
        <x:v>Entregar o material ao cliente</x:v>
      </x:c>
      <x:c r="M61" s="21" t="n">
        <x:v>46216</x:v>
      </x:c>
      <x:c r="N61" s="20" t="str">
        <x:v>Acompanhar o processo até ao fecho para assegurar a entrega na data prevista</x:v>
      </x:c>
      <x:c r="O61" s="24" t="n">
        <x:f>IF(C61="","",MAX(0,TODAY()-C61))</x:f>
        <x:v>8</x:v>
      </x:c>
      <x:c r="P61" s="22" t="n">
        <x:f>IF(OR(G61="",J61=""),"",G61*J61)</x:f>
        <x:v>193800</x:v>
      </x:c>
      <x:c r="Q61" s="20" t="str">
        <x:v>C</x:v>
      </x:c>
      <x:c r="R61" s="20" t="str">
        <x:v>Alta</x:v>
      </x:c>
      <x:c r="S61" s="20" t="str">
        <x:v>Fechado ganho</x:v>
      </x:c>
      <x:c r="T61" s="22" t="n">
        <x:f>IF(K61="","",IFERROR(VLOOKUP(K61,Listas!$G$2:$J$8,4,FALSE),0))</x:f>
        <x:v>2500000</x:v>
      </x:c>
      <x:c r="U61" s="23" t="n">
        <x:f>IFERROR(H61/T61,0)</x:f>
        <x:v>0.07752</x:v>
      </x:c>
      <x:c r="V61" s="20" t="str"/>
    </x:row>
    <x:row r="62">
      <x:c r="A62" s="20" t="str">
        <x:v>Semana Finda</x:v>
      </x:c>
      <x:c r="B62" s="20" t="n">
        <x:v>30</x:v>
      </x:c>
      <x:c r="C62" s="21" t="n">
        <x:v>46210</x:v>
      </x:c>
      <x:c r="D62" s="20" t="str">
        <x:v>PEDRA PRECIOSA</x:v>
      </x:c>
      <x:c r="E62" s="20" t="str">
        <x:v>Fornecimento de toalhas  bordadas</x:v>
      </x:c>
      <x:c r="F62" s="20" t="str">
        <x:v>Proposta em negociação</x:v>
      </x:c>
      <x:c r="G62" s="22" t="n">
        <x:v>251370</x:v>
      </x:c>
      <x:c r="H62" s="22" t="n">
        <x:v>0</x:v>
      </x:c>
      <x:c r="I62" s="22" t="n">
        <x:v>0</x:v>
      </x:c>
      <x:c r="J62" s="23" t="n">
        <x:v>0.6</x:v>
      </x:c>
      <x:c r="K62" s="20" t="str">
        <x:v>Fernando Leite</x:v>
      </x:c>
      <x:c r="L62" s="20" t="str">
        <x:v>Solicitar o ponto de situação da proposta </x:v>
      </x:c>
      <x:c r="M62" s="21" t="n">
        <x:v>46216</x:v>
      </x:c>
      <x:c r="N62" s="20" t="str">
        <x:v>A guardando a confirmação do cliente sobra a aprovação</x:v>
      </x:c>
      <x:c r="O62" s="24" t="n">
        <x:f>IF(C62="","",MAX(0,TODAY()-C62))</x:f>
        <x:v>6</x:v>
      </x:c>
      <x:c r="P62" s="22" t="n">
        <x:f>IF(OR(G62="",J62=""),"",G62*J62)</x:f>
        <x:v>150822</x:v>
      </x:c>
      <x:c r="Q62" s="20" t="str">
        <x:v>C</x:v>
      </x:c>
      <x:c r="R62" s="20" t="str">
        <x:v>Média</x:v>
      </x:c>
      <x:c r="S62" s="20" t="str">
        <x:v>Aberto</x:v>
      </x:c>
      <x:c r="T62" s="22" t="n">
        <x:f>IF(K62="","",IFERROR(VLOOKUP(K62,Listas!$G$2:$J$8,4,FALSE),0))</x:f>
        <x:v>2500000</x:v>
      </x:c>
      <x:c r="U62" s="23" t="n">
        <x:f>IFERROR(H62/T62,0)</x:f>
        <x:v>0</x:v>
      </x:c>
      <x:c r="V62" s="20" t="str"/>
    </x:row>
    <x:row r="63">
      <x:c r="A63" s="20" t="str">
        <x:v>Semana Finda</x:v>
      </x:c>
      <x:c r="B63" s="20" t="n">
        <x:v>31</x:v>
      </x:c>
      <x:c r="C63" s="21" t="n">
        <x:v>46213</x:v>
      </x:c>
      <x:c r="D63" s="20" t="str">
        <x:v>BAXTTER</x:v>
      </x:c>
      <x:c r="E63" s="20" t="str">
        <x:v>Fornecimento de brindes e flyres</x:v>
      </x:c>
      <x:c r="F63" s="20" t="str">
        <x:v>Proposta enviada</x:v>
      </x:c>
      <x:c r="G63" s="22" t="n">
        <x:v>1657560</x:v>
      </x:c>
      <x:c r="H63" s="22" t="n">
        <x:v>0</x:v>
      </x:c>
      <x:c r="I63" s="22" t="n">
        <x:v>0</x:v>
      </x:c>
      <x:c r="J63" s="23" t="n">
        <x:v>0.4</x:v>
      </x:c>
      <x:c r="K63" s="20" t="str">
        <x:v>Fernando Leite</x:v>
      </x:c>
      <x:c r="L63" s="20" t="str">
        <x:v>Solicitar o ponto de situação da proposta </x:v>
      </x:c>
      <x:c r="M63" s="21" t="n">
        <x:v>46216</x:v>
      </x:c>
      <x:c r="N63" s="20" t="str">
        <x:v>Proposta remetida para avaliação</x:v>
      </x:c>
      <x:c r="O63" s="24" t="n">
        <x:f>IF(C63="","",MAX(0,TODAY()-C63))</x:f>
        <x:v>3</x:v>
      </x:c>
      <x:c r="P63" s="22" t="n">
        <x:f>IF(OR(G63="",J63=""),"",G63*J63)</x:f>
        <x:v>663024</x:v>
      </x:c>
      <x:c r="Q63" s="20" t="str">
        <x:v>C</x:v>
      </x:c>
      <x:c r="R63" s="20" t="str">
        <x:v>Normal</x:v>
      </x:c>
      <x:c r="S63" s="20" t="str">
        <x:v>Aberto</x:v>
      </x:c>
      <x:c r="T63" s="22" t="n">
        <x:f>IF(K63="","",IFERROR(VLOOKUP(K63,Listas!$G$2:$J$8,4,FALSE),0))</x:f>
        <x:v>2500000</x:v>
      </x:c>
      <x:c r="U63" s="23" t="n">
        <x:f>IFERROR(H63/T63,0)</x:f>
        <x:v>0</x:v>
      </x:c>
      <x:c r="V63" s="20" t="str"/>
    </x:row>
    <x:row r="64">
      <x:c r="A64" s="20"/>
      <x:c r="B64" s="20"/>
      <x:c r="C64" s="21"/>
      <x:c r="D64" s="20"/>
      <x:c r="E64" s="20"/>
      <x:c r="F64" s="20"/>
      <x:c r="G64" s="22"/>
      <x:c r="H64" s="22"/>
      <x:c r="I64" s="22"/>
      <x:c r="J64" s="23"/>
      <x:c r="K64" s="20"/>
      <x:c r="L64" s="20"/>
      <x:c r="M64" s="21"/>
      <x:c r="N64" s="20"/>
      <x:c r="O64" s="24" t="str">
        <x:f>IF(C64="","",MAX(0,TODAY()-C64))</x:f>
      </x:c>
      <x:c r="P64" s="22" t="str">
        <x:f>IF(OR(G64="",J64=""),"",G64*J64)</x:f>
      </x:c>
      <x:c r="Q64" s="20"/>
      <x:c r="R64" s="20"/>
      <x:c r="S64" s="20"/>
      <x:c r="T64" s="22" t="str">
        <x:f>IF(K64="","",IFERROR(VLOOKUP(K64,Listas!$G$2:$J$8,4,FALSE),0))</x:f>
      </x:c>
      <x:c r="U64" s="23" t="n">
        <x:f>IFERROR(H64/T64,0)</x:f>
        <x:v>0</x:v>
      </x:c>
      <x:c r="V64" s="20"/>
    </x:row>
    <x:row r="65">
      <x:c r="A65" s="20"/>
      <x:c r="B65" s="20"/>
      <x:c r="C65" s="21"/>
      <x:c r="D65" s="20"/>
      <x:c r="E65" s="20"/>
      <x:c r="F65" s="20"/>
      <x:c r="G65" s="22"/>
      <x:c r="H65" s="22"/>
      <x:c r="I65" s="22"/>
      <x:c r="J65" s="23"/>
      <x:c r="K65" s="20"/>
      <x:c r="L65" s="20"/>
      <x:c r="M65" s="21"/>
      <x:c r="N65" s="20"/>
      <x:c r="O65" s="24" t="str">
        <x:f>IF(C65="","",MAX(0,TODAY()-C65))</x:f>
      </x:c>
      <x:c r="P65" s="22" t="str">
        <x:f>IF(OR(G65="",J65=""),"",G65*J65)</x:f>
      </x:c>
      <x:c r="Q65" s="20"/>
      <x:c r="R65" s="20"/>
      <x:c r="S65" s="20"/>
      <x:c r="T65" s="22" t="str">
        <x:f>IF(K65="","",IFERROR(VLOOKUP(K65,Listas!$G$2:$J$8,4,FALSE),0))</x:f>
      </x:c>
      <x:c r="U65" s="23" t="n">
        <x:f>IFERROR(H65/T65,0)</x:f>
        <x:v>0</x:v>
      </x:c>
      <x:c r="V65" s="20"/>
    </x:row>
    <x:row r="66">
      <x:c r="A66" s="20"/>
      <x:c r="B66" s="20"/>
      <x:c r="C66" s="21"/>
      <x:c r="D66" s="20"/>
      <x:c r="E66" s="20"/>
      <x:c r="F66" s="20"/>
      <x:c r="G66" s="22"/>
      <x:c r="H66" s="22"/>
      <x:c r="I66" s="22"/>
      <x:c r="J66" s="23"/>
      <x:c r="K66" s="20"/>
      <x:c r="L66" s="20"/>
      <x:c r="M66" s="21"/>
      <x:c r="N66" s="20"/>
      <x:c r="O66" s="24" t="str">
        <x:f>IF(C66="","",MAX(0,TODAY()-C66))</x:f>
      </x:c>
      <x:c r="P66" s="22" t="str">
        <x:f>IF(OR(G66="",J66=""),"",G66*J66)</x:f>
      </x:c>
      <x:c r="Q66" s="20"/>
      <x:c r="R66" s="20"/>
      <x:c r="S66" s="20"/>
      <x:c r="T66" s="22" t="str">
        <x:f>IF(K66="","",IFERROR(VLOOKUP(K66,Listas!$G$2:$J$8,4,FALSE),0))</x:f>
      </x:c>
      <x:c r="U66" s="23" t="n">
        <x:f>IFERROR(H66/T66,0)</x:f>
        <x:v>0</x:v>
      </x:c>
      <x:c r="V66" s="20"/>
    </x:row>
    <x:row r="67">
      <x:c r="A67" s="20"/>
      <x:c r="B67" s="20"/>
      <x:c r="C67" s="21"/>
      <x:c r="D67" s="20"/>
      <x:c r="E67" s="20"/>
      <x:c r="F67" s="20"/>
      <x:c r="G67" s="22"/>
      <x:c r="H67" s="22"/>
      <x:c r="I67" s="22"/>
      <x:c r="J67" s="23"/>
      <x:c r="K67" s="20"/>
      <x:c r="L67" s="20"/>
      <x:c r="M67" s="21"/>
      <x:c r="N67" s="20"/>
      <x:c r="O67" s="24" t="str">
        <x:f>IF(C67="","",MAX(0,TODAY()-C67))</x:f>
      </x:c>
      <x:c r="P67" s="22" t="str">
        <x:f>IF(OR(G67="",J67=""),"",G67*J67)</x:f>
      </x:c>
      <x:c r="Q67" s="20"/>
      <x:c r="R67" s="20"/>
      <x:c r="S67" s="20"/>
      <x:c r="T67" s="22" t="str">
        <x:f>IF(K67="","",IFERROR(VLOOKUP(K67,Listas!$G$2:$J$8,4,FALSE),0))</x:f>
      </x:c>
      <x:c r="U67" s="23" t="n">
        <x:f>IFERROR(H67/T67,0)</x:f>
        <x:v>0</x:v>
      </x:c>
      <x:c r="V67" s="20"/>
    </x:row>
    <x:row r="68">
      <x:c r="A68" s="20"/>
      <x:c r="B68" s="20"/>
      <x:c r="C68" s="21"/>
      <x:c r="D68" s="20"/>
      <x:c r="E68" s="20"/>
      <x:c r="F68" s="20"/>
      <x:c r="G68" s="22"/>
      <x:c r="H68" s="22"/>
      <x:c r="I68" s="22"/>
      <x:c r="J68" s="23"/>
      <x:c r="K68" s="20"/>
      <x:c r="L68" s="20"/>
      <x:c r="M68" s="21"/>
      <x:c r="N68" s="20"/>
      <x:c r="O68" s="24" t="str">
        <x:f>IF(C68="","",MAX(0,TODAY()-C68))</x:f>
      </x:c>
      <x:c r="P68" s="22" t="str">
        <x:f>IF(OR(G68="",J68=""),"",G68*J68)</x:f>
      </x:c>
      <x:c r="Q68" s="20"/>
      <x:c r="R68" s="20"/>
      <x:c r="S68" s="20"/>
      <x:c r="T68" s="22" t="str">
        <x:f>IF(K68="","",IFERROR(VLOOKUP(K68,Listas!$G$2:$J$8,4,FALSE),0))</x:f>
      </x:c>
      <x:c r="U68" s="23" t="n">
        <x:f>IFERROR(H68/T68,0)</x:f>
        <x:v>0</x:v>
      </x:c>
      <x:c r="V68" s="20"/>
    </x:row>
    <x:row r="69">
      <x:c r="A69" s="20"/>
      <x:c r="B69" s="20"/>
      <x:c r="C69" s="21"/>
      <x:c r="D69" s="20"/>
      <x:c r="E69" s="20"/>
      <x:c r="F69" s="20"/>
      <x:c r="G69" s="22"/>
      <x:c r="H69" s="22"/>
      <x:c r="I69" s="22"/>
      <x:c r="J69" s="23"/>
      <x:c r="K69" s="20"/>
      <x:c r="L69" s="20"/>
      <x:c r="M69" s="21"/>
      <x:c r="N69" s="20"/>
      <x:c r="O69" s="24" t="str">
        <x:f>IF(C69="","",MAX(0,TODAY()-C69))</x:f>
      </x:c>
      <x:c r="P69" s="22" t="str">
        <x:f>IF(OR(G69="",J69=""),"",G69*J69)</x:f>
      </x:c>
      <x:c r="Q69" s="20"/>
      <x:c r="R69" s="20"/>
      <x:c r="S69" s="20"/>
      <x:c r="T69" s="22" t="str">
        <x:f>IF(K69="","",IFERROR(VLOOKUP(K69,Listas!$G$2:$J$8,4,FALSE),0))</x:f>
      </x:c>
      <x:c r="U69" s="23" t="n">
        <x:f>IFERROR(H69/T69,0)</x:f>
        <x:v>0</x:v>
      </x:c>
      <x:c r="V69" s="20"/>
    </x:row>
    <x:row r="70">
      <x:c r="A70" s="20"/>
      <x:c r="B70" s="20"/>
      <x:c r="C70" s="21"/>
      <x:c r="D70" s="20"/>
      <x:c r="E70" s="20"/>
      <x:c r="F70" s="20"/>
      <x:c r="G70" s="22"/>
      <x:c r="H70" s="22"/>
      <x:c r="I70" s="22"/>
      <x:c r="J70" s="23"/>
      <x:c r="K70" s="20"/>
      <x:c r="L70" s="20"/>
      <x:c r="M70" s="21"/>
      <x:c r="N70" s="20"/>
      <x:c r="O70" s="24" t="str">
        <x:f>IF(C70="","",MAX(0,TODAY()-C70))</x:f>
      </x:c>
      <x:c r="P70" s="22" t="str">
        <x:f>IF(OR(G70="",J70=""),"",G70*J70)</x:f>
      </x:c>
      <x:c r="Q70" s="20"/>
      <x:c r="R70" s="20"/>
      <x:c r="S70" s="20"/>
      <x:c r="T70" s="22" t="str">
        <x:f>IF(K70="","",IFERROR(VLOOKUP(K70,Listas!$G$2:$J$8,4,FALSE),0))</x:f>
      </x:c>
      <x:c r="U70" s="23" t="n">
        <x:f>IFERROR(H70/T70,0)</x:f>
        <x:v>0</x:v>
      </x:c>
      <x:c r="V70" s="20"/>
    </x:row>
    <x:row r="71">
      <x:c r="A71" s="20"/>
      <x:c r="B71" s="20"/>
      <x:c r="C71" s="21"/>
      <x:c r="D71" s="20"/>
      <x:c r="E71" s="20"/>
      <x:c r="F71" s="20"/>
      <x:c r="G71" s="22"/>
      <x:c r="H71" s="22"/>
      <x:c r="I71" s="22"/>
      <x:c r="J71" s="23"/>
      <x:c r="K71" s="20"/>
      <x:c r="L71" s="20"/>
      <x:c r="M71" s="21"/>
      <x:c r="N71" s="20"/>
      <x:c r="O71" s="24" t="str">
        <x:f>IF(C71="","",MAX(0,TODAY()-C71))</x:f>
      </x:c>
      <x:c r="P71" s="22" t="str">
        <x:f>IF(OR(G71="",J71=""),"",G71*J71)</x:f>
      </x:c>
      <x:c r="Q71" s="20"/>
      <x:c r="R71" s="20"/>
      <x:c r="S71" s="20"/>
      <x:c r="T71" s="22" t="str">
        <x:f>IF(K71="","",IFERROR(VLOOKUP(K71,Listas!$G$2:$J$8,4,FALSE),0))</x:f>
      </x:c>
      <x:c r="U71" s="23" t="n">
        <x:f>IFERROR(H71/T71,0)</x:f>
        <x:v>0</x:v>
      </x:c>
      <x:c r="V71" s="20"/>
    </x:row>
    <x:row r="72">
      <x:c r="A72" s="20"/>
      <x:c r="B72" s="20"/>
      <x:c r="C72" s="21"/>
      <x:c r="D72" s="20"/>
      <x:c r="E72" s="20"/>
      <x:c r="F72" s="20"/>
      <x:c r="G72" s="22"/>
      <x:c r="H72" s="22"/>
      <x:c r="I72" s="22"/>
      <x:c r="J72" s="23"/>
      <x:c r="K72" s="20"/>
      <x:c r="L72" s="20"/>
      <x:c r="M72" s="21"/>
      <x:c r="N72" s="20"/>
      <x:c r="O72" s="24" t="str">
        <x:f>IF(C72="","",MAX(0,TODAY()-C72))</x:f>
      </x:c>
      <x:c r="P72" s="22" t="str">
        <x:f>IF(OR(G72="",J72=""),"",G72*J72)</x:f>
      </x:c>
      <x:c r="Q72" s="20"/>
      <x:c r="R72" s="20"/>
      <x:c r="S72" s="20"/>
      <x:c r="T72" s="22" t="str">
        <x:f>IF(K72="","",IFERROR(VLOOKUP(K72,Listas!$G$2:$J$8,4,FALSE),0))</x:f>
      </x:c>
      <x:c r="U72" s="23" t="n">
        <x:f>IFERROR(H72/T72,0)</x:f>
        <x:v>0</x:v>
      </x:c>
      <x:c r="V72" s="20"/>
    </x:row>
    <x:row r="73">
      <x:c r="A73" s="20"/>
      <x:c r="B73" s="20"/>
      <x:c r="C73" s="21"/>
      <x:c r="D73" s="20"/>
      <x:c r="E73" s="20"/>
      <x:c r="F73" s="20"/>
      <x:c r="G73" s="22"/>
      <x:c r="H73" s="22"/>
      <x:c r="I73" s="22"/>
      <x:c r="J73" s="23"/>
      <x:c r="K73" s="20"/>
      <x:c r="L73" s="20"/>
      <x:c r="M73" s="21"/>
      <x:c r="N73" s="20"/>
      <x:c r="O73" s="24" t="str">
        <x:f>IF(C73="","",MAX(0,TODAY()-C73))</x:f>
      </x:c>
      <x:c r="P73" s="22" t="str">
        <x:f>IF(OR(G73="",J73=""),"",G73*J73)</x:f>
      </x:c>
      <x:c r="Q73" s="20"/>
      <x:c r="R73" s="20"/>
      <x:c r="S73" s="20"/>
      <x:c r="T73" s="22" t="str">
        <x:f>IF(K73="","",IFERROR(VLOOKUP(K73,Listas!$G$2:$J$8,4,FALSE),0))</x:f>
      </x:c>
      <x:c r="U73" s="23" t="n">
        <x:f>IFERROR(H73/T73,0)</x:f>
        <x:v>0</x:v>
      </x:c>
      <x:c r="V73" s="20"/>
    </x:row>
    <x:row r="74">
      <x:c r="A74" s="20"/>
      <x:c r="B74" s="20"/>
      <x:c r="C74" s="21"/>
      <x:c r="D74" s="20"/>
      <x:c r="E74" s="20"/>
      <x:c r="F74" s="20"/>
      <x:c r="G74" s="22"/>
      <x:c r="H74" s="22"/>
      <x:c r="I74" s="22"/>
      <x:c r="J74" s="23"/>
      <x:c r="K74" s="20"/>
      <x:c r="L74" s="20"/>
      <x:c r="M74" s="21"/>
      <x:c r="N74" s="20"/>
      <x:c r="O74" s="24" t="str">
        <x:f>IF(C74="","",MAX(0,TODAY()-C74))</x:f>
      </x:c>
      <x:c r="P74" s="22" t="str">
        <x:f>IF(OR(G74="",J74=""),"",G74*J74)</x:f>
      </x:c>
      <x:c r="Q74" s="20"/>
      <x:c r="R74" s="20"/>
      <x:c r="S74" s="20"/>
      <x:c r="T74" s="22" t="str">
        <x:f>IF(K74="","",IFERROR(VLOOKUP(K74,Listas!$G$2:$J$8,4,FALSE),0))</x:f>
      </x:c>
      <x:c r="U74" s="23" t="n">
        <x:f>IFERROR(H74/T74,0)</x:f>
        <x:v>0</x:v>
      </x:c>
      <x:c r="V74" s="20"/>
    </x:row>
    <x:row r="75">
      <x:c r="A75" s="20"/>
      <x:c r="B75" s="20"/>
      <x:c r="C75" s="21"/>
      <x:c r="D75" s="20"/>
      <x:c r="E75" s="20"/>
      <x:c r="F75" s="20"/>
      <x:c r="G75" s="22"/>
      <x:c r="H75" s="22"/>
      <x:c r="I75" s="22"/>
      <x:c r="J75" s="23"/>
      <x:c r="K75" s="20"/>
      <x:c r="L75" s="20"/>
      <x:c r="M75" s="21"/>
      <x:c r="N75" s="20"/>
      <x:c r="O75" s="24" t="str">
        <x:f>IF(C75="","",MAX(0,TODAY()-C75))</x:f>
      </x:c>
      <x:c r="P75" s="22" t="str">
        <x:f>IF(OR(G75="",J75=""),"",G75*J75)</x:f>
      </x:c>
      <x:c r="Q75" s="20"/>
      <x:c r="R75" s="20"/>
      <x:c r="S75" s="20"/>
      <x:c r="T75" s="22" t="str">
        <x:f>IF(K75="","",IFERROR(VLOOKUP(K75,Listas!$G$2:$J$8,4,FALSE),0))</x:f>
      </x:c>
      <x:c r="U75" s="23" t="n">
        <x:f>IFERROR(H75/T75,0)</x:f>
        <x:v>0</x:v>
      </x:c>
      <x:c r="V75" s="20"/>
    </x:row>
    <x:row r="76">
      <x:c r="A76" s="20"/>
      <x:c r="B76" s="20"/>
      <x:c r="C76" s="21"/>
      <x:c r="D76" s="20"/>
      <x:c r="E76" s="20"/>
      <x:c r="F76" s="20"/>
      <x:c r="G76" s="22"/>
      <x:c r="H76" s="22"/>
      <x:c r="I76" s="22"/>
      <x:c r="J76" s="23"/>
      <x:c r="K76" s="20"/>
      <x:c r="L76" s="20"/>
      <x:c r="M76" s="21"/>
      <x:c r="N76" s="20"/>
      <x:c r="O76" s="24" t="str">
        <x:f>IF(C76="","",MAX(0,TODAY()-C76))</x:f>
      </x:c>
      <x:c r="P76" s="22" t="str">
        <x:f>IF(OR(G76="",J76=""),"",G76*J76)</x:f>
      </x:c>
      <x:c r="Q76" s="20"/>
      <x:c r="R76" s="20"/>
      <x:c r="S76" s="20"/>
      <x:c r="T76" s="22" t="str">
        <x:f>IF(K76="","",IFERROR(VLOOKUP(K76,Listas!$G$2:$J$8,4,FALSE),0))</x:f>
      </x:c>
      <x:c r="U76" s="23" t="n">
        <x:f>IFERROR(H76/T76,0)</x:f>
        <x:v>0</x:v>
      </x:c>
      <x:c r="V76" s="20"/>
    </x:row>
    <x:row r="77">
      <x:c r="A77" s="20"/>
      <x:c r="B77" s="20"/>
      <x:c r="C77" s="21"/>
      <x:c r="D77" s="20"/>
      <x:c r="E77" s="20"/>
      <x:c r="F77" s="20"/>
      <x:c r="G77" s="22"/>
      <x:c r="H77" s="22"/>
      <x:c r="I77" s="22"/>
      <x:c r="J77" s="23"/>
      <x:c r="K77" s="20"/>
      <x:c r="L77" s="20"/>
      <x:c r="M77" s="21"/>
      <x:c r="N77" s="20"/>
      <x:c r="O77" s="24" t="str">
        <x:f>IF(C77="","",MAX(0,TODAY()-C77))</x:f>
      </x:c>
      <x:c r="P77" s="22" t="str">
        <x:f>IF(OR(G77="",J77=""),"",G77*J77)</x:f>
      </x:c>
      <x:c r="Q77" s="20"/>
      <x:c r="R77" s="20"/>
      <x:c r="S77" s="20"/>
      <x:c r="T77" s="22" t="str">
        <x:f>IF(K77="","",IFERROR(VLOOKUP(K77,Listas!$G$2:$J$8,4,FALSE),0))</x:f>
      </x:c>
      <x:c r="U77" s="23" t="n">
        <x:f>IFERROR(H77/T77,0)</x:f>
        <x:v>0</x:v>
      </x:c>
      <x:c r="V77" s="20"/>
    </x:row>
    <x:row r="78">
      <x:c r="A78" s="20"/>
      <x:c r="B78" s="20"/>
      <x:c r="C78" s="21"/>
      <x:c r="D78" s="20"/>
      <x:c r="E78" s="20"/>
      <x:c r="F78" s="20"/>
      <x:c r="G78" s="22"/>
      <x:c r="H78" s="22"/>
      <x:c r="I78" s="22"/>
      <x:c r="J78" s="23"/>
      <x:c r="K78" s="20"/>
      <x:c r="L78" s="20"/>
      <x:c r="M78" s="21"/>
      <x:c r="N78" s="20"/>
      <x:c r="O78" s="24" t="str">
        <x:f>IF(C78="","",MAX(0,TODAY()-C78))</x:f>
      </x:c>
      <x:c r="P78" s="22" t="str">
        <x:f>IF(OR(G78="",J78=""),"",G78*J78)</x:f>
      </x:c>
      <x:c r="Q78" s="20"/>
      <x:c r="R78" s="20"/>
      <x:c r="S78" s="20"/>
      <x:c r="T78" s="22" t="str">
        <x:f>IF(K78="","",IFERROR(VLOOKUP(K78,Listas!$G$2:$J$8,4,FALSE),0))</x:f>
      </x:c>
      <x:c r="U78" s="23" t="n">
        <x:f>IFERROR(H78/T78,0)</x:f>
        <x:v>0</x:v>
      </x:c>
      <x:c r="V78" s="20"/>
    </x:row>
    <x:row r="79">
      <x:c r="A79" s="20"/>
      <x:c r="B79" s="20"/>
      <x:c r="C79" s="21"/>
      <x:c r="D79" s="20"/>
      <x:c r="E79" s="20"/>
      <x:c r="F79" s="20"/>
      <x:c r="G79" s="22"/>
      <x:c r="H79" s="22"/>
      <x:c r="I79" s="22"/>
      <x:c r="J79" s="23"/>
      <x:c r="K79" s="20"/>
      <x:c r="L79" s="20"/>
      <x:c r="M79" s="21"/>
      <x:c r="N79" s="20"/>
      <x:c r="O79" s="24" t="str">
        <x:f>IF(C79="","",MAX(0,TODAY()-C79))</x:f>
      </x:c>
      <x:c r="P79" s="22" t="str">
        <x:f>IF(OR(G79="",J79=""),"",G79*J79)</x:f>
      </x:c>
      <x:c r="Q79" s="20"/>
      <x:c r="R79" s="20"/>
      <x:c r="S79" s="20"/>
      <x:c r="T79" s="22" t="str">
        <x:f>IF(K79="","",IFERROR(VLOOKUP(K79,Listas!$G$2:$J$8,4,FALSE),0))</x:f>
      </x:c>
      <x:c r="U79" s="23" t="n">
        <x:f>IFERROR(H79/T79,0)</x:f>
        <x:v>0</x:v>
      </x:c>
      <x:c r="V79" s="20"/>
    </x:row>
    <x:row r="80">
      <x:c r="A80" s="20"/>
      <x:c r="B80" s="20"/>
      <x:c r="C80" s="21"/>
      <x:c r="D80" s="20"/>
      <x:c r="E80" s="20"/>
      <x:c r="F80" s="20"/>
      <x:c r="G80" s="22"/>
      <x:c r="H80" s="22"/>
      <x:c r="I80" s="22"/>
      <x:c r="J80" s="23"/>
      <x:c r="K80" s="20"/>
      <x:c r="L80" s="20"/>
      <x:c r="M80" s="21"/>
      <x:c r="N80" s="20"/>
      <x:c r="O80" s="24" t="str">
        <x:f>IF(C80="","",MAX(0,TODAY()-C80))</x:f>
      </x:c>
      <x:c r="P80" s="22" t="str">
        <x:f>IF(OR(G80="",J80=""),"",G80*J80)</x:f>
      </x:c>
      <x:c r="Q80" s="20"/>
      <x:c r="R80" s="20"/>
      <x:c r="S80" s="20"/>
      <x:c r="T80" s="22" t="str">
        <x:f>IF(K80="","",IFERROR(VLOOKUP(K80,Listas!$G$2:$J$8,4,FALSE),0))</x:f>
      </x:c>
      <x:c r="U80" s="23" t="n">
        <x:f>IFERROR(H80/T80,0)</x:f>
        <x:v>0</x:v>
      </x:c>
      <x:c r="V80" s="20"/>
    </x:row>
    <x:row r="81">
      <x:c r="A81" s="20"/>
      <x:c r="B81" s="20"/>
      <x:c r="C81" s="21"/>
      <x:c r="D81" s="20"/>
      <x:c r="E81" s="20"/>
      <x:c r="F81" s="20"/>
      <x:c r="G81" s="22"/>
      <x:c r="H81" s="22"/>
      <x:c r="I81" s="22"/>
      <x:c r="J81" s="23"/>
      <x:c r="K81" s="20"/>
      <x:c r="L81" s="20"/>
      <x:c r="M81" s="21"/>
      <x:c r="N81" s="20"/>
      <x:c r="O81" s="24" t="str">
        <x:f>IF(C81="","",MAX(0,TODAY()-C81))</x:f>
      </x:c>
      <x:c r="P81" s="22" t="str">
        <x:f>IF(OR(G81="",J81=""),"",G81*J81)</x:f>
      </x:c>
      <x:c r="Q81" s="20"/>
      <x:c r="R81" s="20"/>
      <x:c r="S81" s="20"/>
      <x:c r="T81" s="22" t="str">
        <x:f>IF(K81="","",IFERROR(VLOOKUP(K81,Listas!$G$2:$J$8,4,FALSE),0))</x:f>
      </x:c>
      <x:c r="U81" s="23" t="n">
        <x:f>IFERROR(H81/T81,0)</x:f>
        <x:v>0</x:v>
      </x:c>
      <x:c r="V81" s="20"/>
    </x:row>
    <x:row r="82">
      <x:c r="A82" s="20"/>
      <x:c r="B82" s="20"/>
      <x:c r="C82" s="21"/>
      <x:c r="D82" s="20"/>
      <x:c r="E82" s="20"/>
      <x:c r="F82" s="20"/>
      <x:c r="G82" s="22"/>
      <x:c r="H82" s="22"/>
      <x:c r="I82" s="22"/>
      <x:c r="J82" s="23"/>
      <x:c r="K82" s="20"/>
      <x:c r="L82" s="20"/>
      <x:c r="M82" s="21"/>
      <x:c r="N82" s="20"/>
      <x:c r="O82" s="24" t="str">
        <x:f>IF(C82="","",MAX(0,TODAY()-C82))</x:f>
      </x:c>
      <x:c r="P82" s="22" t="str">
        <x:f>IF(OR(G82="",J82=""),"",G82*J82)</x:f>
      </x:c>
      <x:c r="Q82" s="20"/>
      <x:c r="R82" s="20"/>
      <x:c r="S82" s="20"/>
      <x:c r="T82" s="22" t="str">
        <x:f>IF(K82="","",IFERROR(VLOOKUP(K82,Listas!$G$2:$J$8,4,FALSE),0))</x:f>
      </x:c>
      <x:c r="U82" s="23" t="n">
        <x:f>IFERROR(H82/T82,0)</x:f>
        <x:v>0</x:v>
      </x:c>
      <x:c r="V82" s="20"/>
    </x:row>
    <x:row r="83">
      <x:c r="A83" s="20"/>
      <x:c r="B83" s="20"/>
      <x:c r="C83" s="21"/>
      <x:c r="D83" s="20"/>
      <x:c r="E83" s="20"/>
      <x:c r="F83" s="20"/>
      <x:c r="G83" s="22"/>
      <x:c r="H83" s="22"/>
      <x:c r="I83" s="22"/>
      <x:c r="J83" s="23"/>
      <x:c r="K83" s="20"/>
      <x:c r="L83" s="20"/>
      <x:c r="M83" s="21"/>
      <x:c r="N83" s="20"/>
      <x:c r="O83" s="24" t="str">
        <x:f>IF(C83="","",MAX(0,TODAY()-C83))</x:f>
      </x:c>
      <x:c r="P83" s="22" t="str">
        <x:f>IF(OR(G83="",J83=""),"",G83*J83)</x:f>
      </x:c>
      <x:c r="Q83" s="20"/>
      <x:c r="R83" s="20"/>
      <x:c r="S83" s="20"/>
      <x:c r="T83" s="22" t="str">
        <x:f>IF(K83="","",IFERROR(VLOOKUP(K83,Listas!$G$2:$J$8,4,FALSE),0))</x:f>
      </x:c>
      <x:c r="U83" s="23" t="n">
        <x:f>IFERROR(H83/T83,0)</x:f>
        <x:v>0</x:v>
      </x:c>
      <x:c r="V83" s="20"/>
    </x:row>
    <x:row r="84">
      <x:c r="A84" s="20"/>
      <x:c r="B84" s="20"/>
      <x:c r="C84" s="21"/>
      <x:c r="D84" s="20"/>
      <x:c r="E84" s="20"/>
      <x:c r="F84" s="20"/>
      <x:c r="G84" s="22"/>
      <x:c r="H84" s="22"/>
      <x:c r="I84" s="22"/>
      <x:c r="J84" s="23"/>
      <x:c r="K84" s="20"/>
      <x:c r="L84" s="20"/>
      <x:c r="M84" s="21"/>
      <x:c r="N84" s="20"/>
      <x:c r="O84" s="24" t="str">
        <x:f>IF(C84="","",MAX(0,TODAY()-C84))</x:f>
      </x:c>
      <x:c r="P84" s="22" t="str">
        <x:f>IF(OR(G84="",J84=""),"",G84*J84)</x:f>
      </x:c>
      <x:c r="Q84" s="20"/>
      <x:c r="R84" s="20"/>
      <x:c r="S84" s="20"/>
      <x:c r="T84" s="22" t="str">
        <x:f>IF(K84="","",IFERROR(VLOOKUP(K84,Listas!$G$2:$J$8,4,FALSE),0))</x:f>
      </x:c>
      <x:c r="U84" s="23" t="n">
        <x:f>IFERROR(H84/T84,0)</x:f>
        <x:v>0</x:v>
      </x:c>
      <x:c r="V84" s="20"/>
    </x:row>
    <x:row r="85">
      <x:c r="A85" s="20"/>
      <x:c r="B85" s="20"/>
      <x:c r="C85" s="21"/>
      <x:c r="D85" s="20"/>
      <x:c r="E85" s="20"/>
      <x:c r="F85" s="20"/>
      <x:c r="G85" s="22"/>
      <x:c r="H85" s="22"/>
      <x:c r="I85" s="22"/>
      <x:c r="J85" s="23"/>
      <x:c r="K85" s="20"/>
      <x:c r="L85" s="20"/>
      <x:c r="M85" s="21"/>
      <x:c r="N85" s="20"/>
      <x:c r="O85" s="24" t="str">
        <x:f>IF(C85="","",MAX(0,TODAY()-C85))</x:f>
      </x:c>
      <x:c r="P85" s="22" t="str">
        <x:f>IF(OR(G85="",J85=""),"",G85*J85)</x:f>
      </x:c>
      <x:c r="Q85" s="20"/>
      <x:c r="R85" s="20"/>
      <x:c r="S85" s="20"/>
      <x:c r="T85" s="22" t="str">
        <x:f>IF(K85="","",IFERROR(VLOOKUP(K85,Listas!$G$2:$J$8,4,FALSE),0))</x:f>
      </x:c>
      <x:c r="U85" s="23" t="n">
        <x:f>IFERROR(H85/T85,0)</x:f>
        <x:v>0</x:v>
      </x:c>
      <x:c r="V85" s="20"/>
    </x:row>
    <x:row r="86">
      <x:c r="A86" s="20"/>
      <x:c r="B86" s="20"/>
      <x:c r="C86" s="21"/>
      <x:c r="D86" s="20"/>
      <x:c r="E86" s="20"/>
      <x:c r="F86" s="20"/>
      <x:c r="G86" s="22"/>
      <x:c r="H86" s="22"/>
      <x:c r="I86" s="22"/>
      <x:c r="J86" s="23"/>
      <x:c r="K86" s="20"/>
      <x:c r="L86" s="20"/>
      <x:c r="M86" s="21"/>
      <x:c r="N86" s="20"/>
      <x:c r="O86" s="24" t="str">
        <x:f>IF(C86="","",MAX(0,TODAY()-C86))</x:f>
      </x:c>
      <x:c r="P86" s="22" t="str">
        <x:f>IF(OR(G86="",J86=""),"",G86*J86)</x:f>
      </x:c>
      <x:c r="Q86" s="20"/>
      <x:c r="R86" s="20"/>
      <x:c r="S86" s="20"/>
      <x:c r="T86" s="22" t="str">
        <x:f>IF(K86="","",IFERROR(VLOOKUP(K86,Listas!$G$2:$J$8,4,FALSE),0))</x:f>
      </x:c>
      <x:c r="U86" s="23" t="n">
        <x:f>IFERROR(H86/T86,0)</x:f>
        <x:v>0</x:v>
      </x:c>
      <x:c r="V86" s="20"/>
    </x:row>
    <x:row r="87">
      <x:c r="A87" s="20"/>
      <x:c r="B87" s="20"/>
      <x:c r="C87" s="21"/>
      <x:c r="D87" s="20"/>
      <x:c r="E87" s="20"/>
      <x:c r="F87" s="20"/>
      <x:c r="G87" s="22"/>
      <x:c r="H87" s="22"/>
      <x:c r="I87" s="22"/>
      <x:c r="J87" s="23"/>
      <x:c r="K87" s="20"/>
      <x:c r="L87" s="20"/>
      <x:c r="M87" s="21"/>
      <x:c r="N87" s="20"/>
      <x:c r="O87" s="24" t="str">
        <x:f>IF(C87="","",MAX(0,TODAY()-C87))</x:f>
      </x:c>
      <x:c r="P87" s="22" t="str">
        <x:f>IF(OR(G87="",J87=""),"",G87*J87)</x:f>
      </x:c>
      <x:c r="Q87" s="20"/>
      <x:c r="R87" s="20"/>
      <x:c r="S87" s="20"/>
      <x:c r="T87" s="22" t="str">
        <x:f>IF(K87="","",IFERROR(VLOOKUP(K87,Listas!$G$2:$J$8,4,FALSE),0))</x:f>
      </x:c>
      <x:c r="U87" s="23" t="n">
        <x:f>IFERROR(H87/T87,0)</x:f>
        <x:v>0</x:v>
      </x:c>
      <x:c r="V87" s="20"/>
    </x:row>
    <x:row r="88">
      <x:c r="A88" s="20"/>
      <x:c r="B88" s="20"/>
      <x:c r="C88" s="21"/>
      <x:c r="D88" s="20"/>
      <x:c r="E88" s="20"/>
      <x:c r="F88" s="20"/>
      <x:c r="G88" s="22"/>
      <x:c r="H88" s="22"/>
      <x:c r="I88" s="22"/>
      <x:c r="J88" s="23"/>
      <x:c r="K88" s="20"/>
      <x:c r="L88" s="20"/>
      <x:c r="M88" s="21"/>
      <x:c r="N88" s="20"/>
      <x:c r="O88" s="24" t="str">
        <x:f>IF(C88="","",MAX(0,TODAY()-C88))</x:f>
      </x:c>
      <x:c r="P88" s="22" t="str">
        <x:f>IF(OR(G88="",J88=""),"",G88*J88)</x:f>
      </x:c>
      <x:c r="Q88" s="20"/>
      <x:c r="R88" s="20"/>
      <x:c r="S88" s="20"/>
      <x:c r="T88" s="22" t="str">
        <x:f>IF(K88="","",IFERROR(VLOOKUP(K88,Listas!$G$2:$J$8,4,FALSE),0))</x:f>
      </x:c>
      <x:c r="U88" s="23" t="n">
        <x:f>IFERROR(H88/T88,0)</x:f>
        <x:v>0</x:v>
      </x:c>
      <x:c r="V88" s="20"/>
    </x:row>
    <x:row r="89">
      <x:c r="A89" s="20"/>
      <x:c r="B89" s="20"/>
      <x:c r="C89" s="21"/>
      <x:c r="D89" s="20"/>
      <x:c r="E89" s="20"/>
      <x:c r="F89" s="20"/>
      <x:c r="G89" s="22"/>
      <x:c r="H89" s="22"/>
      <x:c r="I89" s="22"/>
      <x:c r="J89" s="23"/>
      <x:c r="K89" s="20"/>
      <x:c r="L89" s="20"/>
      <x:c r="M89" s="21"/>
      <x:c r="N89" s="20"/>
      <x:c r="O89" s="24" t="str">
        <x:f>IF(C89="","",MAX(0,TODAY()-C89))</x:f>
      </x:c>
      <x:c r="P89" s="22" t="str">
        <x:f>IF(OR(G89="",J89=""),"",G89*J89)</x:f>
      </x:c>
      <x:c r="Q89" s="20"/>
      <x:c r="R89" s="20"/>
      <x:c r="S89" s="20"/>
      <x:c r="T89" s="22" t="str">
        <x:f>IF(K89="","",IFERROR(VLOOKUP(K89,Listas!$G$2:$J$8,4,FALSE),0))</x:f>
      </x:c>
      <x:c r="U89" s="23" t="n">
        <x:f>IFERROR(H89/T89,0)</x:f>
        <x:v>0</x:v>
      </x:c>
      <x:c r="V89" s="20"/>
    </x:row>
    <x:row r="90">
      <x:c r="A90" s="20"/>
      <x:c r="B90" s="20"/>
      <x:c r="C90" s="21"/>
      <x:c r="D90" s="20"/>
      <x:c r="E90" s="20"/>
      <x:c r="F90" s="20"/>
      <x:c r="G90" s="22"/>
      <x:c r="H90" s="22"/>
      <x:c r="I90" s="22"/>
      <x:c r="J90" s="23"/>
      <x:c r="K90" s="20"/>
      <x:c r="L90" s="20"/>
      <x:c r="M90" s="21"/>
      <x:c r="N90" s="20"/>
      <x:c r="O90" s="24" t="str">
        <x:f>IF(C90="","",MAX(0,TODAY()-C90))</x:f>
      </x:c>
      <x:c r="P90" s="22" t="str">
        <x:f>IF(OR(G90="",J90=""),"",G90*J90)</x:f>
      </x:c>
      <x:c r="Q90" s="20"/>
      <x:c r="R90" s="20"/>
      <x:c r="S90" s="20"/>
      <x:c r="T90" s="22" t="str">
        <x:f>IF(K90="","",IFERROR(VLOOKUP(K90,Listas!$G$2:$J$8,4,FALSE),0))</x:f>
      </x:c>
      <x:c r="U90" s="23" t="n">
        <x:f>IFERROR(H90/T90,0)</x:f>
        <x:v>0</x:v>
      </x:c>
      <x:c r="V90" s="20"/>
    </x:row>
    <x:row r="91">
      <x:c r="A91" s="20"/>
      <x:c r="B91" s="20"/>
      <x:c r="C91" s="21"/>
      <x:c r="D91" s="20"/>
      <x:c r="E91" s="20"/>
      <x:c r="F91" s="20"/>
      <x:c r="G91" s="22"/>
      <x:c r="H91" s="22"/>
      <x:c r="I91" s="22"/>
      <x:c r="J91" s="23"/>
      <x:c r="K91" s="20"/>
      <x:c r="L91" s="20"/>
      <x:c r="M91" s="21"/>
      <x:c r="N91" s="20"/>
      <x:c r="O91" s="24" t="str">
        <x:f>IF(C91="","",MAX(0,TODAY()-C91))</x:f>
      </x:c>
      <x:c r="P91" s="22" t="str">
        <x:f>IF(OR(G91="",J91=""),"",G91*J91)</x:f>
      </x:c>
      <x:c r="Q91" s="20"/>
      <x:c r="R91" s="20"/>
      <x:c r="S91" s="20"/>
      <x:c r="T91" s="22" t="str">
        <x:f>IF(K91="","",IFERROR(VLOOKUP(K91,Listas!$G$2:$J$8,4,FALSE),0))</x:f>
      </x:c>
      <x:c r="U91" s="23" t="n">
        <x:f>IFERROR(H91/T91,0)</x:f>
        <x:v>0</x:v>
      </x:c>
      <x:c r="V91" s="20"/>
    </x:row>
    <x:row r="92">
      <x:c r="A92" s="20"/>
      <x:c r="B92" s="20"/>
      <x:c r="C92" s="21"/>
      <x:c r="D92" s="20"/>
      <x:c r="E92" s="20"/>
      <x:c r="F92" s="20"/>
      <x:c r="G92" s="22"/>
      <x:c r="H92" s="22"/>
      <x:c r="I92" s="22"/>
      <x:c r="J92" s="23"/>
      <x:c r="K92" s="20"/>
      <x:c r="L92" s="20"/>
      <x:c r="M92" s="21"/>
      <x:c r="N92" s="20"/>
      <x:c r="O92" s="24" t="str">
        <x:f>IF(C92="","",MAX(0,TODAY()-C92))</x:f>
      </x:c>
      <x:c r="P92" s="22" t="str">
        <x:f>IF(OR(G92="",J92=""),"",G92*J92)</x:f>
      </x:c>
      <x:c r="Q92" s="20"/>
      <x:c r="R92" s="20"/>
      <x:c r="S92" s="20"/>
      <x:c r="T92" s="22" t="str">
        <x:f>IF(K92="","",IFERROR(VLOOKUP(K92,Listas!$G$2:$J$8,4,FALSE),0))</x:f>
      </x:c>
      <x:c r="U92" s="23" t="n">
        <x:f>IFERROR(H92/T92,0)</x:f>
        <x:v>0</x:v>
      </x:c>
      <x:c r="V92" s="20"/>
    </x:row>
    <x:row r="93">
      <x:c r="A93" s="20"/>
      <x:c r="B93" s="20"/>
      <x:c r="C93" s="21"/>
      <x:c r="D93" s="20"/>
      <x:c r="E93" s="20"/>
      <x:c r="F93" s="20"/>
      <x:c r="G93" s="22"/>
      <x:c r="H93" s="22"/>
      <x:c r="I93" s="22"/>
      <x:c r="J93" s="23"/>
      <x:c r="K93" s="20"/>
      <x:c r="L93" s="20"/>
      <x:c r="M93" s="21"/>
      <x:c r="N93" s="20"/>
      <x:c r="O93" s="24" t="str">
        <x:f>IF(C93="","",MAX(0,TODAY()-C93))</x:f>
      </x:c>
      <x:c r="P93" s="22" t="str">
        <x:f>IF(OR(G93="",J93=""),"",G93*J93)</x:f>
      </x:c>
      <x:c r="Q93" s="20"/>
      <x:c r="R93" s="20"/>
      <x:c r="S93" s="20"/>
      <x:c r="T93" s="22" t="str">
        <x:f>IF(K93="","",IFERROR(VLOOKUP(K93,Listas!$G$2:$J$8,4,FALSE),0))</x:f>
      </x:c>
      <x:c r="U93" s="23" t="n">
        <x:f>IFERROR(H93/T93,0)</x:f>
        <x:v>0</x:v>
      </x:c>
      <x:c r="V93" s="20"/>
    </x:row>
    <x:row r="94">
      <x:c r="A94" s="20"/>
      <x:c r="B94" s="20"/>
      <x:c r="C94" s="21"/>
      <x:c r="D94" s="20"/>
      <x:c r="E94" s="20"/>
      <x:c r="F94" s="20"/>
      <x:c r="G94" s="22"/>
      <x:c r="H94" s="22"/>
      <x:c r="I94" s="22"/>
      <x:c r="J94" s="23"/>
      <x:c r="K94" s="20"/>
      <x:c r="L94" s="20"/>
      <x:c r="M94" s="21"/>
      <x:c r="N94" s="20"/>
      <x:c r="O94" s="24" t="str">
        <x:f>IF(C94="","",MAX(0,TODAY()-C94))</x:f>
      </x:c>
      <x:c r="P94" s="22" t="str">
        <x:f>IF(OR(G94="",J94=""),"",G94*J94)</x:f>
      </x:c>
      <x:c r="Q94" s="20"/>
      <x:c r="R94" s="20"/>
      <x:c r="S94" s="20"/>
      <x:c r="T94" s="22" t="str">
        <x:f>IF(K94="","",IFERROR(VLOOKUP(K94,Listas!$G$2:$J$8,4,FALSE),0))</x:f>
      </x:c>
      <x:c r="U94" s="23" t="n">
        <x:f>IFERROR(H94/T94,0)</x:f>
        <x:v>0</x:v>
      </x:c>
      <x:c r="V94" s="20"/>
    </x:row>
    <x:row r="95">
      <x:c r="A95" s="20"/>
      <x:c r="B95" s="20"/>
      <x:c r="C95" s="21"/>
      <x:c r="D95" s="20"/>
      <x:c r="E95" s="20"/>
      <x:c r="F95" s="20"/>
      <x:c r="G95" s="22"/>
      <x:c r="H95" s="22"/>
      <x:c r="I95" s="22"/>
      <x:c r="J95" s="23"/>
      <x:c r="K95" s="20"/>
      <x:c r="L95" s="20"/>
      <x:c r="M95" s="21"/>
      <x:c r="N95" s="20"/>
      <x:c r="O95" s="24" t="str">
        <x:f>IF(C95="","",MAX(0,TODAY()-C95))</x:f>
      </x:c>
      <x:c r="P95" s="22" t="str">
        <x:f>IF(OR(G95="",J95=""),"",G95*J95)</x:f>
      </x:c>
      <x:c r="Q95" s="20"/>
      <x:c r="R95" s="20"/>
      <x:c r="S95" s="20"/>
      <x:c r="T95" s="22" t="str">
        <x:f>IF(K95="","",IFERROR(VLOOKUP(K95,Listas!$G$2:$J$8,4,FALSE),0))</x:f>
      </x:c>
      <x:c r="U95" s="23" t="n">
        <x:f>IFERROR(H95/T95,0)</x:f>
        <x:v>0</x:v>
      </x:c>
      <x:c r="V95" s="20"/>
    </x:row>
    <x:row r="96">
      <x:c r="A96" s="20"/>
      <x:c r="B96" s="20"/>
      <x:c r="C96" s="21"/>
      <x:c r="D96" s="20"/>
      <x:c r="E96" s="20"/>
      <x:c r="F96" s="20"/>
      <x:c r="G96" s="22"/>
      <x:c r="H96" s="22"/>
      <x:c r="I96" s="22"/>
      <x:c r="J96" s="23"/>
      <x:c r="K96" s="20"/>
      <x:c r="L96" s="20"/>
      <x:c r="M96" s="21"/>
      <x:c r="N96" s="20"/>
      <x:c r="O96" s="24" t="str">
        <x:f>IF(C96="","",MAX(0,TODAY()-C96))</x:f>
      </x:c>
      <x:c r="P96" s="22" t="str">
        <x:f>IF(OR(G96="",J96=""),"",G96*J96)</x:f>
      </x:c>
      <x:c r="Q96" s="20"/>
      <x:c r="R96" s="20"/>
      <x:c r="S96" s="20"/>
      <x:c r="T96" s="22" t="str">
        <x:f>IF(K96="","",IFERROR(VLOOKUP(K96,Listas!$G$2:$J$8,4,FALSE),0))</x:f>
      </x:c>
      <x:c r="U96" s="23" t="n">
        <x:f>IFERROR(H96/T96,0)</x:f>
        <x:v>0</x:v>
      </x:c>
      <x:c r="V96" s="20"/>
    </x:row>
    <x:row r="97">
      <x:c r="A97" s="20"/>
      <x:c r="B97" s="20"/>
      <x:c r="C97" s="21"/>
      <x:c r="D97" s="20"/>
      <x:c r="E97" s="20"/>
      <x:c r="F97" s="20"/>
      <x:c r="G97" s="22"/>
      <x:c r="H97" s="22"/>
      <x:c r="I97" s="22"/>
      <x:c r="J97" s="23"/>
      <x:c r="K97" s="20"/>
      <x:c r="L97" s="20"/>
      <x:c r="M97" s="21"/>
      <x:c r="N97" s="20"/>
      <x:c r="O97" s="24" t="str">
        <x:f>IF(C97="","",MAX(0,TODAY()-C97))</x:f>
      </x:c>
      <x:c r="P97" s="22" t="str">
        <x:f>IF(OR(G97="",J97=""),"",G97*J97)</x:f>
      </x:c>
      <x:c r="Q97" s="20"/>
      <x:c r="R97" s="20"/>
      <x:c r="S97" s="20"/>
      <x:c r="T97" s="22" t="str">
        <x:f>IF(K97="","",IFERROR(VLOOKUP(K97,Listas!$G$2:$J$8,4,FALSE),0))</x:f>
      </x:c>
      <x:c r="U97" s="23" t="n">
        <x:f>IFERROR(H97/T97,0)</x:f>
        <x:v>0</x:v>
      </x:c>
      <x:c r="V97" s="20"/>
    </x:row>
    <x:row r="98">
      <x:c r="A98" s="20"/>
      <x:c r="B98" s="20"/>
      <x:c r="C98" s="21"/>
      <x:c r="D98" s="20"/>
      <x:c r="E98" s="20"/>
      <x:c r="F98" s="20"/>
      <x:c r="G98" s="22"/>
      <x:c r="H98" s="22"/>
      <x:c r="I98" s="22"/>
      <x:c r="J98" s="23"/>
      <x:c r="K98" s="20"/>
      <x:c r="L98" s="20"/>
      <x:c r="M98" s="21"/>
      <x:c r="N98" s="20"/>
      <x:c r="O98" s="24" t="str">
        <x:f>IF(C98="","",MAX(0,TODAY()-C98))</x:f>
      </x:c>
      <x:c r="P98" s="22" t="str">
        <x:f>IF(OR(G98="",J98=""),"",G98*J98)</x:f>
      </x:c>
      <x:c r="Q98" s="20"/>
      <x:c r="R98" s="20"/>
      <x:c r="S98" s="20"/>
      <x:c r="T98" s="22" t="str">
        <x:f>IF(K98="","",IFERROR(VLOOKUP(K98,Listas!$G$2:$J$8,4,FALSE),0))</x:f>
      </x:c>
      <x:c r="U98" s="23" t="n">
        <x:f>IFERROR(H98/T98,0)</x:f>
        <x:v>0</x:v>
      </x:c>
      <x:c r="V98" s="20"/>
    </x:row>
    <x:row r="99">
      <x:c r="A99" s="20"/>
      <x:c r="B99" s="20"/>
      <x:c r="C99" s="21"/>
      <x:c r="D99" s="20"/>
      <x:c r="E99" s="20"/>
      <x:c r="F99" s="20"/>
      <x:c r="G99" s="22"/>
      <x:c r="H99" s="22"/>
      <x:c r="I99" s="22"/>
      <x:c r="J99" s="23"/>
      <x:c r="K99" s="20"/>
      <x:c r="L99" s="20"/>
      <x:c r="M99" s="21"/>
      <x:c r="N99" s="20"/>
      <x:c r="O99" s="24" t="str">
        <x:f>IF(C99="","",MAX(0,TODAY()-C99))</x:f>
      </x:c>
      <x:c r="P99" s="22" t="str">
        <x:f>IF(OR(G99="",J99=""),"",G99*J99)</x:f>
      </x:c>
      <x:c r="Q99" s="20"/>
      <x:c r="R99" s="20"/>
      <x:c r="S99" s="20"/>
      <x:c r="T99" s="22" t="str">
        <x:f>IF(K99="","",IFERROR(VLOOKUP(K99,Listas!$G$2:$J$8,4,FALSE),0))</x:f>
      </x:c>
      <x:c r="U99" s="23" t="n">
        <x:f>IFERROR(H99/T99,0)</x:f>
        <x:v>0</x:v>
      </x:c>
      <x:c r="V99" s="20"/>
    </x:row>
    <x:row r="100">
      <x:c r="A100" s="20"/>
      <x:c r="B100" s="20"/>
      <x:c r="C100" s="21"/>
      <x:c r="D100" s="20"/>
      <x:c r="E100" s="20"/>
      <x:c r="F100" s="20"/>
      <x:c r="G100" s="22"/>
      <x:c r="H100" s="22"/>
      <x:c r="I100" s="22"/>
      <x:c r="J100" s="23"/>
      <x:c r="K100" s="20"/>
      <x:c r="L100" s="20"/>
      <x:c r="M100" s="21"/>
      <x:c r="N100" s="20"/>
      <x:c r="O100" s="24" t="str">
        <x:f>IF(C100="","",MAX(0,TODAY()-C100))</x:f>
      </x:c>
      <x:c r="P100" s="22" t="str">
        <x:f>IF(OR(G100="",J100=""),"",G100*J100)</x:f>
      </x:c>
      <x:c r="Q100" s="20"/>
      <x:c r="R100" s="20"/>
      <x:c r="S100" s="20"/>
      <x:c r="T100" s="22" t="str">
        <x:f>IF(K100="","",IFERROR(VLOOKUP(K100,Listas!$G$2:$J$8,4,FALSE),0))</x:f>
      </x:c>
      <x:c r="U100" s="23" t="n">
        <x:f>IFERROR(H100/T100,0)</x:f>
        <x:v>0</x:v>
      </x:c>
      <x:c r="V100" s="20"/>
    </x:row>
    <x:row r="101">
      <x:c r="A101" s="20"/>
      <x:c r="B101" s="20"/>
      <x:c r="C101" s="21"/>
      <x:c r="D101" s="20"/>
      <x:c r="E101" s="20"/>
      <x:c r="F101" s="20"/>
      <x:c r="G101" s="22"/>
      <x:c r="H101" s="22"/>
      <x:c r="I101" s="22"/>
      <x:c r="J101" s="23"/>
      <x:c r="K101" s="20"/>
      <x:c r="L101" s="20"/>
      <x:c r="M101" s="21"/>
      <x:c r="N101" s="20"/>
      <x:c r="O101" s="24" t="str">
        <x:f>IF(C101="","",MAX(0,TODAY()-C101))</x:f>
      </x:c>
      <x:c r="P101" s="22" t="str">
        <x:f>IF(OR(G101="",J101=""),"",G101*J101)</x:f>
      </x:c>
      <x:c r="Q101" s="20"/>
      <x:c r="R101" s="20"/>
      <x:c r="S101" s="20"/>
      <x:c r="T101" s="22" t="str">
        <x:f>IF(K101="","",IFERROR(VLOOKUP(K101,Listas!$G$2:$J$8,4,FALSE),0))</x:f>
      </x:c>
      <x:c r="U101" s="23" t="n">
        <x:f>IFERROR(H101/T101,0)</x:f>
        <x:v>0</x:v>
      </x:c>
      <x:c r="V101" s="20"/>
    </x:row>
    <x:row r="102">
      <x:c r="A102" s="20"/>
      <x:c r="B102" s="20"/>
      <x:c r="C102" s="21"/>
      <x:c r="D102" s="20"/>
      <x:c r="E102" s="20"/>
      <x:c r="F102" s="20"/>
      <x:c r="G102" s="22"/>
      <x:c r="H102" s="22"/>
      <x:c r="I102" s="22"/>
      <x:c r="J102" s="23"/>
      <x:c r="K102" s="20"/>
      <x:c r="L102" s="20"/>
      <x:c r="M102" s="21"/>
      <x:c r="N102" s="20"/>
      <x:c r="O102" s="24" t="str">
        <x:f>IF(C102="","",MAX(0,TODAY()-C102))</x:f>
      </x:c>
      <x:c r="P102" s="22" t="str">
        <x:f>IF(OR(G102="",J102=""),"",G102*J102)</x:f>
      </x:c>
      <x:c r="Q102" s="20"/>
      <x:c r="R102" s="20"/>
      <x:c r="S102" s="20"/>
      <x:c r="T102" s="22" t="str">
        <x:f>IF(K102="","",IFERROR(VLOOKUP(K102,Listas!$G$2:$J$8,4,FALSE),0))</x:f>
      </x:c>
      <x:c r="U102" s="23" t="n">
        <x:f>IFERROR(H102/T102,0)</x:f>
        <x:v>0</x:v>
      </x:c>
      <x:c r="V102" s="20"/>
    </x:row>
    <x:row r="103">
      <x:c r="A103" s="20"/>
      <x:c r="B103" s="20"/>
      <x:c r="C103" s="21"/>
      <x:c r="D103" s="20"/>
      <x:c r="E103" s="20"/>
      <x:c r="F103" s="20"/>
      <x:c r="G103" s="22"/>
      <x:c r="H103" s="22"/>
      <x:c r="I103" s="22"/>
      <x:c r="J103" s="23"/>
      <x:c r="K103" s="20"/>
      <x:c r="L103" s="20"/>
      <x:c r="M103" s="21"/>
      <x:c r="N103" s="20"/>
      <x:c r="O103" s="24" t="str">
        <x:f>IF(C103="","",MAX(0,TODAY()-C103))</x:f>
      </x:c>
      <x:c r="P103" s="22" t="str">
        <x:f>IF(OR(G103="",J103=""),"",G103*J103)</x:f>
      </x:c>
      <x:c r="Q103" s="20"/>
      <x:c r="R103" s="20"/>
      <x:c r="S103" s="20"/>
      <x:c r="T103" s="22" t="str">
        <x:f>IF(K103="","",IFERROR(VLOOKUP(K103,Listas!$G$2:$J$8,4,FALSE),0))</x:f>
      </x:c>
      <x:c r="U103" s="23" t="n">
        <x:f>IFERROR(H103/T103,0)</x:f>
        <x:v>0</x:v>
      </x:c>
      <x:c r="V103" s="20"/>
    </x:row>
    <x:row r="104">
      <x:c r="A104" s="20"/>
      <x:c r="B104" s="20"/>
      <x:c r="C104" s="21"/>
      <x:c r="D104" s="20"/>
      <x:c r="E104" s="20"/>
      <x:c r="F104" s="20"/>
      <x:c r="G104" s="22"/>
      <x:c r="H104" s="22"/>
      <x:c r="I104" s="22"/>
      <x:c r="J104" s="23"/>
      <x:c r="K104" s="20"/>
      <x:c r="L104" s="20"/>
      <x:c r="M104" s="21"/>
      <x:c r="N104" s="20"/>
      <x:c r="O104" s="24" t="str">
        <x:f>IF(C104="","",MAX(0,TODAY()-C104))</x:f>
      </x:c>
      <x:c r="P104" s="22" t="str">
        <x:f>IF(OR(G104="",J104=""),"",G104*J104)</x:f>
      </x:c>
      <x:c r="Q104" s="20"/>
      <x:c r="R104" s="20"/>
      <x:c r="S104" s="20"/>
      <x:c r="T104" s="22" t="str">
        <x:f>IF(K104="","",IFERROR(VLOOKUP(K104,Listas!$G$2:$J$8,4,FALSE),0))</x:f>
      </x:c>
      <x:c r="U104" s="23" t="n">
        <x:f>IFERROR(H104/T104,0)</x:f>
        <x:v>0</x:v>
      </x:c>
      <x:c r="V104" s="20"/>
    </x:row>
    <x:row r="105">
      <x:c r="A105" s="20"/>
      <x:c r="B105" s="20"/>
      <x:c r="C105" s="21"/>
      <x:c r="D105" s="20"/>
      <x:c r="E105" s="20"/>
      <x:c r="F105" s="20"/>
      <x:c r="G105" s="22"/>
      <x:c r="H105" s="22"/>
      <x:c r="I105" s="22"/>
      <x:c r="J105" s="23"/>
      <x:c r="K105" s="20"/>
      <x:c r="L105" s="20"/>
      <x:c r="M105" s="21"/>
      <x:c r="N105" s="20"/>
      <x:c r="O105" s="24" t="str">
        <x:f>IF(C105="","",MAX(0,TODAY()-C105))</x:f>
      </x:c>
      <x:c r="P105" s="22" t="str">
        <x:f>IF(OR(G105="",J105=""),"",G105*J105)</x:f>
      </x:c>
      <x:c r="Q105" s="20"/>
      <x:c r="R105" s="20"/>
      <x:c r="S105" s="20"/>
      <x:c r="T105" s="22" t="str">
        <x:f>IF(K105="","",IFERROR(VLOOKUP(K105,Listas!$G$2:$J$8,4,FALSE),0))</x:f>
      </x:c>
      <x:c r="U105" s="23" t="n">
        <x:f>IFERROR(H105/T105,0)</x:f>
        <x:v>0</x:v>
      </x:c>
      <x:c r="V105" s="20"/>
    </x:row>
    <x:row r="106">
      <x:c r="A106" s="20"/>
      <x:c r="B106" s="20"/>
      <x:c r="C106" s="21"/>
      <x:c r="D106" s="20"/>
      <x:c r="E106" s="20"/>
      <x:c r="F106" s="20"/>
      <x:c r="G106" s="22"/>
      <x:c r="H106" s="22"/>
      <x:c r="I106" s="22"/>
      <x:c r="J106" s="23"/>
      <x:c r="K106" s="20"/>
      <x:c r="L106" s="20"/>
      <x:c r="M106" s="21"/>
      <x:c r="N106" s="20"/>
      <x:c r="O106" s="24" t="str">
        <x:f>IF(C106="","",MAX(0,TODAY()-C106))</x:f>
      </x:c>
      <x:c r="P106" s="22" t="str">
        <x:f>IF(OR(G106="",J106=""),"",G106*J106)</x:f>
      </x:c>
      <x:c r="Q106" s="20"/>
      <x:c r="R106" s="20"/>
      <x:c r="S106" s="20"/>
      <x:c r="T106" s="22" t="str">
        <x:f>IF(K106="","",IFERROR(VLOOKUP(K106,Listas!$G$2:$J$8,4,FALSE),0))</x:f>
      </x:c>
      <x:c r="U106" s="23" t="n">
        <x:f>IFERROR(H106/T106,0)</x:f>
        <x:v>0</x:v>
      </x:c>
      <x:c r="V106" s="20"/>
    </x:row>
    <x:row r="107">
      <x:c r="A107" s="20"/>
      <x:c r="B107" s="20"/>
      <x:c r="C107" s="21"/>
      <x:c r="D107" s="20"/>
      <x:c r="E107" s="20"/>
      <x:c r="F107" s="20"/>
      <x:c r="G107" s="22"/>
      <x:c r="H107" s="22"/>
      <x:c r="I107" s="22"/>
      <x:c r="J107" s="23"/>
      <x:c r="K107" s="20"/>
      <x:c r="L107" s="20"/>
      <x:c r="M107" s="21"/>
      <x:c r="N107" s="20"/>
      <x:c r="O107" s="24" t="str">
        <x:f>IF(C107="","",MAX(0,TODAY()-C107))</x:f>
      </x:c>
      <x:c r="P107" s="22" t="str">
        <x:f>IF(OR(G107="",J107=""),"",G107*J107)</x:f>
      </x:c>
      <x:c r="Q107" s="20"/>
      <x:c r="R107" s="20"/>
      <x:c r="S107" s="20"/>
      <x:c r="T107" s="22" t="str">
        <x:f>IF(K107="","",IFERROR(VLOOKUP(K107,Listas!$G$2:$J$8,4,FALSE),0))</x:f>
      </x:c>
      <x:c r="U107" s="23" t="n">
        <x:f>IFERROR(H107/T107,0)</x:f>
        <x:v>0</x:v>
      </x:c>
      <x:c r="V107" s="20"/>
    </x:row>
    <x:row r="108">
      <x:c r="A108" s="20"/>
      <x:c r="B108" s="20"/>
      <x:c r="C108" s="21"/>
      <x:c r="D108" s="20"/>
      <x:c r="E108" s="20"/>
      <x:c r="F108" s="20"/>
      <x:c r="G108" s="22"/>
      <x:c r="H108" s="22"/>
      <x:c r="I108" s="22"/>
      <x:c r="J108" s="23"/>
      <x:c r="K108" s="20"/>
      <x:c r="L108" s="20"/>
      <x:c r="M108" s="21"/>
      <x:c r="N108" s="20"/>
      <x:c r="O108" s="24" t="str">
        <x:f>IF(C108="","",MAX(0,TODAY()-C108))</x:f>
      </x:c>
      <x:c r="P108" s="22" t="str">
        <x:f>IF(OR(G108="",J108=""),"",G108*J108)</x:f>
      </x:c>
      <x:c r="Q108" s="20"/>
      <x:c r="R108" s="20"/>
      <x:c r="S108" s="20"/>
      <x:c r="T108" s="22" t="str">
        <x:f>IF(K108="","",IFERROR(VLOOKUP(K108,Listas!$G$2:$J$8,4,FALSE),0))</x:f>
      </x:c>
      <x:c r="U108" s="23" t="n">
        <x:f>IFERROR(H108/T108,0)</x:f>
        <x:v>0</x:v>
      </x:c>
      <x:c r="V108" s="20"/>
    </x:row>
    <x:row r="109">
      <x:c r="A109" s="20"/>
      <x:c r="B109" s="20"/>
      <x:c r="C109" s="21"/>
      <x:c r="D109" s="20"/>
      <x:c r="E109" s="20"/>
      <x:c r="F109" s="20"/>
      <x:c r="G109" s="22"/>
      <x:c r="H109" s="22"/>
      <x:c r="I109" s="22"/>
      <x:c r="J109" s="23"/>
      <x:c r="K109" s="20"/>
      <x:c r="L109" s="20"/>
      <x:c r="M109" s="21"/>
      <x:c r="N109" s="20"/>
      <x:c r="O109" s="24" t="str">
        <x:f>IF(C109="","",MAX(0,TODAY()-C109))</x:f>
      </x:c>
      <x:c r="P109" s="22" t="str">
        <x:f>IF(OR(G109="",J109=""),"",G109*J109)</x:f>
      </x:c>
      <x:c r="Q109" s="20"/>
      <x:c r="R109" s="20"/>
      <x:c r="S109" s="20"/>
      <x:c r="T109" s="22" t="str">
        <x:f>IF(K109="","",IFERROR(VLOOKUP(K109,Listas!$G$2:$J$8,4,FALSE),0))</x:f>
      </x:c>
      <x:c r="U109" s="23" t="n">
        <x:f>IFERROR(H109/T109,0)</x:f>
        <x:v>0</x:v>
      </x:c>
      <x:c r="V109" s="20"/>
    </x:row>
    <x:row r="110">
      <x:c r="A110" s="20"/>
      <x:c r="B110" s="20"/>
      <x:c r="C110" s="21"/>
      <x:c r="D110" s="20"/>
      <x:c r="E110" s="20"/>
      <x:c r="F110" s="20"/>
      <x:c r="G110" s="22"/>
      <x:c r="H110" s="22"/>
      <x:c r="I110" s="22"/>
      <x:c r="J110" s="23"/>
      <x:c r="K110" s="20"/>
      <x:c r="L110" s="20"/>
      <x:c r="M110" s="21"/>
      <x:c r="N110" s="20"/>
      <x:c r="O110" s="24" t="str">
        <x:f>IF(C110="","",MAX(0,TODAY()-C110))</x:f>
      </x:c>
      <x:c r="P110" s="22" t="str">
        <x:f>IF(OR(G110="",J110=""),"",G110*J110)</x:f>
      </x:c>
      <x:c r="Q110" s="20"/>
      <x:c r="R110" s="20"/>
      <x:c r="S110" s="20"/>
      <x:c r="T110" s="22" t="str">
        <x:f>IF(K110="","",IFERROR(VLOOKUP(K110,Listas!$G$2:$J$8,4,FALSE),0))</x:f>
      </x:c>
      <x:c r="U110" s="23" t="n">
        <x:f>IFERROR(H110/T110,0)</x:f>
        <x:v>0</x:v>
      </x:c>
      <x:c r="V110" s="20"/>
    </x:row>
    <x:row r="111">
      <x:c r="A111" s="20"/>
      <x:c r="B111" s="20"/>
      <x:c r="C111" s="21"/>
      <x:c r="D111" s="20"/>
      <x:c r="E111" s="20"/>
      <x:c r="F111" s="20"/>
      <x:c r="G111" s="22"/>
      <x:c r="H111" s="22"/>
      <x:c r="I111" s="22"/>
      <x:c r="J111" s="23"/>
      <x:c r="K111" s="20"/>
      <x:c r="L111" s="20"/>
      <x:c r="M111" s="21"/>
      <x:c r="N111" s="20"/>
      <x:c r="O111" s="24" t="str">
        <x:f>IF(C111="","",MAX(0,TODAY()-C111))</x:f>
      </x:c>
      <x:c r="P111" s="22" t="str">
        <x:f>IF(OR(G111="",J111=""),"",G111*J111)</x:f>
      </x:c>
      <x:c r="Q111" s="20"/>
      <x:c r="R111" s="20"/>
      <x:c r="S111" s="20"/>
      <x:c r="T111" s="22" t="str">
        <x:f>IF(K111="","",IFERROR(VLOOKUP(K111,Listas!$G$2:$J$8,4,FALSE),0))</x:f>
      </x:c>
      <x:c r="U111" s="23" t="n">
        <x:f>IFERROR(H111/T111,0)</x:f>
        <x:v>0</x:v>
      </x:c>
      <x:c r="V111" s="20"/>
    </x:row>
    <x:row r="112">
      <x:c r="A112" s="20"/>
      <x:c r="B112" s="20"/>
      <x:c r="C112" s="21"/>
      <x:c r="D112" s="20"/>
      <x:c r="E112" s="20"/>
      <x:c r="F112" s="20"/>
      <x:c r="G112" s="22"/>
      <x:c r="H112" s="22"/>
      <x:c r="I112" s="22"/>
      <x:c r="J112" s="23"/>
      <x:c r="K112" s="20"/>
      <x:c r="L112" s="20"/>
      <x:c r="M112" s="21"/>
      <x:c r="N112" s="20"/>
      <x:c r="O112" s="24" t="str">
        <x:f>IF(C112="","",MAX(0,TODAY()-C112))</x:f>
      </x:c>
      <x:c r="P112" s="22" t="str">
        <x:f>IF(OR(G112="",J112=""),"",G112*J112)</x:f>
      </x:c>
      <x:c r="Q112" s="20"/>
      <x:c r="R112" s="20"/>
      <x:c r="S112" s="20"/>
      <x:c r="T112" s="22" t="str">
        <x:f>IF(K112="","",IFERROR(VLOOKUP(K112,Listas!$G$2:$J$8,4,FALSE),0))</x:f>
      </x:c>
      <x:c r="U112" s="23" t="n">
        <x:f>IFERROR(H112/T112,0)</x:f>
        <x:v>0</x:v>
      </x:c>
      <x:c r="V112" s="20"/>
    </x:row>
    <x:row r="113">
      <x:c r="A113" s="20"/>
      <x:c r="B113" s="20"/>
      <x:c r="C113" s="21"/>
      <x:c r="D113" s="20"/>
      <x:c r="E113" s="20"/>
      <x:c r="F113" s="20"/>
      <x:c r="G113" s="22"/>
      <x:c r="H113" s="22"/>
      <x:c r="I113" s="22"/>
      <x:c r="J113" s="23"/>
      <x:c r="K113" s="20"/>
      <x:c r="L113" s="20"/>
      <x:c r="M113" s="21"/>
      <x:c r="N113" s="20"/>
      <x:c r="O113" s="24" t="str">
        <x:f>IF(C113="","",MAX(0,TODAY()-C113))</x:f>
      </x:c>
      <x:c r="P113" s="22" t="str">
        <x:f>IF(OR(G113="",J113=""),"",G113*J113)</x:f>
      </x:c>
      <x:c r="Q113" s="20"/>
      <x:c r="R113" s="20"/>
      <x:c r="S113" s="20"/>
      <x:c r="T113" s="22" t="str">
        <x:f>IF(K113="","",IFERROR(VLOOKUP(K113,Listas!$G$2:$J$8,4,FALSE),0))</x:f>
      </x:c>
      <x:c r="U113" s="23" t="n">
        <x:f>IFERROR(H113/T113,0)</x:f>
        <x:v>0</x:v>
      </x:c>
      <x:c r="V113" s="20"/>
    </x:row>
    <x:row r="114">
      <x:c r="A114" s="20"/>
      <x:c r="B114" s="20"/>
      <x:c r="C114" s="21"/>
      <x:c r="D114" s="20"/>
      <x:c r="E114" s="20"/>
      <x:c r="F114" s="20"/>
      <x:c r="G114" s="22"/>
      <x:c r="H114" s="22"/>
      <x:c r="I114" s="22"/>
      <x:c r="J114" s="23"/>
      <x:c r="K114" s="20"/>
      <x:c r="L114" s="20"/>
      <x:c r="M114" s="21"/>
      <x:c r="N114" s="20"/>
      <x:c r="O114" s="24" t="str">
        <x:f>IF(C114="","",MAX(0,TODAY()-C114))</x:f>
      </x:c>
      <x:c r="P114" s="22" t="str">
        <x:f>IF(OR(G114="",J114=""),"",G114*J114)</x:f>
      </x:c>
      <x:c r="Q114" s="20"/>
      <x:c r="R114" s="20"/>
      <x:c r="S114" s="20"/>
      <x:c r="T114" s="22" t="str">
        <x:f>IF(K114="","",IFERROR(VLOOKUP(K114,Listas!$G$2:$J$8,4,FALSE),0))</x:f>
      </x:c>
      <x:c r="U114" s="23" t="n">
        <x:f>IFERROR(H114/T114,0)</x:f>
        <x:v>0</x:v>
      </x:c>
      <x:c r="V114" s="20"/>
    </x:row>
    <x:row r="115">
      <x:c r="A115" s="20"/>
      <x:c r="B115" s="20"/>
      <x:c r="C115" s="21"/>
      <x:c r="D115" s="20"/>
      <x:c r="E115" s="20"/>
      <x:c r="F115" s="20"/>
      <x:c r="G115" s="22"/>
      <x:c r="H115" s="22"/>
      <x:c r="I115" s="22"/>
      <x:c r="J115" s="23"/>
      <x:c r="K115" s="20"/>
      <x:c r="L115" s="20"/>
      <x:c r="M115" s="21"/>
      <x:c r="N115" s="20"/>
      <x:c r="O115" s="24" t="str">
        <x:f>IF(C115="","",MAX(0,TODAY()-C115))</x:f>
      </x:c>
      <x:c r="P115" s="22" t="str">
        <x:f>IF(OR(G115="",J115=""),"",G115*J115)</x:f>
      </x:c>
      <x:c r="Q115" s="20"/>
      <x:c r="R115" s="20"/>
      <x:c r="S115" s="20"/>
      <x:c r="T115" s="22" t="str">
        <x:f>IF(K115="","",IFERROR(VLOOKUP(K115,Listas!$G$2:$J$8,4,FALSE),0))</x:f>
      </x:c>
      <x:c r="U115" s="23" t="n">
        <x:f>IFERROR(H115/T115,0)</x:f>
        <x:v>0</x:v>
      </x:c>
      <x:c r="V115" s="20"/>
    </x:row>
    <x:row r="116">
      <x:c r="A116" s="20"/>
      <x:c r="B116" s="20"/>
      <x:c r="C116" s="21"/>
      <x:c r="D116" s="20"/>
      <x:c r="E116" s="20"/>
      <x:c r="F116" s="20"/>
      <x:c r="G116" s="22"/>
      <x:c r="H116" s="22"/>
      <x:c r="I116" s="22"/>
      <x:c r="J116" s="23"/>
      <x:c r="K116" s="20"/>
      <x:c r="L116" s="20"/>
      <x:c r="M116" s="21"/>
      <x:c r="N116" s="20"/>
      <x:c r="O116" s="24" t="str">
        <x:f>IF(C116="","",MAX(0,TODAY()-C116))</x:f>
      </x:c>
      <x:c r="P116" s="22" t="str">
        <x:f>IF(OR(G116="",J116=""),"",G116*J116)</x:f>
      </x:c>
      <x:c r="Q116" s="20"/>
      <x:c r="R116" s="20"/>
      <x:c r="S116" s="20"/>
      <x:c r="T116" s="22" t="str">
        <x:f>IF(K116="","",IFERROR(VLOOKUP(K116,Listas!$G$2:$J$8,4,FALSE),0))</x:f>
      </x:c>
      <x:c r="U116" s="23" t="n">
        <x:f>IFERROR(H116/T116,0)</x:f>
        <x:v>0</x:v>
      </x:c>
      <x:c r="V116" s="20"/>
    </x:row>
    <x:row r="117">
      <x:c r="A117" s="20"/>
      <x:c r="B117" s="20"/>
      <x:c r="C117" s="21"/>
      <x:c r="D117" s="20"/>
      <x:c r="E117" s="20"/>
      <x:c r="F117" s="20"/>
      <x:c r="G117" s="22"/>
      <x:c r="H117" s="22"/>
      <x:c r="I117" s="22"/>
      <x:c r="J117" s="23"/>
      <x:c r="K117" s="20"/>
      <x:c r="L117" s="20"/>
      <x:c r="M117" s="21"/>
      <x:c r="N117" s="20"/>
      <x:c r="O117" s="24" t="str">
        <x:f>IF(C117="","",MAX(0,TODAY()-C117))</x:f>
      </x:c>
      <x:c r="P117" s="22" t="str">
        <x:f>IF(OR(G117="",J117=""),"",G117*J117)</x:f>
      </x:c>
      <x:c r="Q117" s="20"/>
      <x:c r="R117" s="20"/>
      <x:c r="S117" s="20"/>
      <x:c r="T117" s="22" t="str">
        <x:f>IF(K117="","",IFERROR(VLOOKUP(K117,Listas!$G$2:$J$8,4,FALSE),0))</x:f>
      </x:c>
      <x:c r="U117" s="23" t="n">
        <x:f>IFERROR(H117/T117,0)</x:f>
        <x:v>0</x:v>
      </x:c>
      <x:c r="V117" s="20"/>
    </x:row>
    <x:row r="118">
      <x:c r="A118" s="20"/>
      <x:c r="B118" s="20"/>
      <x:c r="C118" s="21"/>
      <x:c r="D118" s="20"/>
      <x:c r="E118" s="20"/>
      <x:c r="F118" s="20"/>
      <x:c r="G118" s="22"/>
      <x:c r="H118" s="22"/>
      <x:c r="I118" s="22"/>
      <x:c r="J118" s="23"/>
      <x:c r="K118" s="20"/>
      <x:c r="L118" s="20"/>
      <x:c r="M118" s="21"/>
      <x:c r="N118" s="20"/>
      <x:c r="O118" s="24" t="str">
        <x:f>IF(C118="","",MAX(0,TODAY()-C118))</x:f>
      </x:c>
      <x:c r="P118" s="22" t="str">
        <x:f>IF(OR(G118="",J118=""),"",G118*J118)</x:f>
      </x:c>
      <x:c r="Q118" s="20"/>
      <x:c r="R118" s="20"/>
      <x:c r="S118" s="20"/>
      <x:c r="T118" s="22" t="str">
        <x:f>IF(K118="","",IFERROR(VLOOKUP(K118,Listas!$G$2:$J$8,4,FALSE),0))</x:f>
      </x:c>
      <x:c r="U118" s="23" t="n">
        <x:f>IFERROR(H118/T118,0)</x:f>
        <x:v>0</x:v>
      </x:c>
      <x:c r="V118" s="20"/>
    </x:row>
    <x:row r="119">
      <x:c r="A119" s="20"/>
      <x:c r="B119" s="20"/>
      <x:c r="C119" s="21"/>
      <x:c r="D119" s="20"/>
      <x:c r="E119" s="20"/>
      <x:c r="F119" s="20"/>
      <x:c r="G119" s="22"/>
      <x:c r="H119" s="22"/>
      <x:c r="I119" s="22"/>
      <x:c r="J119" s="23"/>
      <x:c r="K119" s="20"/>
      <x:c r="L119" s="20"/>
      <x:c r="M119" s="21"/>
      <x:c r="N119" s="20"/>
      <x:c r="O119" s="24" t="str">
        <x:f>IF(C119="","",MAX(0,TODAY()-C119))</x:f>
      </x:c>
      <x:c r="P119" s="22" t="str">
        <x:f>IF(OR(G119="",J119=""),"",G119*J119)</x:f>
      </x:c>
      <x:c r="Q119" s="20"/>
      <x:c r="R119" s="20"/>
      <x:c r="S119" s="20"/>
      <x:c r="T119" s="22" t="str">
        <x:f>IF(K119="","",IFERROR(VLOOKUP(K119,Listas!$G$2:$J$8,4,FALSE),0))</x:f>
      </x:c>
      <x:c r="U119" s="23" t="n">
        <x:f>IFERROR(H119/T119,0)</x:f>
        <x:v>0</x:v>
      </x:c>
      <x:c r="V119" s="20"/>
    </x:row>
    <x:row r="120">
      <x:c r="A120" s="20"/>
      <x:c r="B120" s="20"/>
      <x:c r="C120" s="21"/>
      <x:c r="D120" s="20"/>
      <x:c r="E120" s="20"/>
      <x:c r="F120" s="20"/>
      <x:c r="G120" s="22"/>
      <x:c r="H120" s="22"/>
      <x:c r="I120" s="22"/>
      <x:c r="J120" s="23"/>
      <x:c r="K120" s="20"/>
      <x:c r="L120" s="20"/>
      <x:c r="M120" s="21"/>
      <x:c r="N120" s="20"/>
      <x:c r="O120" s="24" t="str">
        <x:f>IF(C120="","",MAX(0,TODAY()-C120))</x:f>
      </x:c>
      <x:c r="P120" s="22" t="str">
        <x:f>IF(OR(G120="",J120=""),"",G120*J120)</x:f>
      </x:c>
      <x:c r="Q120" s="20"/>
      <x:c r="R120" s="20"/>
      <x:c r="S120" s="20"/>
      <x:c r="T120" s="22" t="str">
        <x:f>IF(K120="","",IFERROR(VLOOKUP(K120,Listas!$G$2:$J$8,4,FALSE),0))</x:f>
      </x:c>
      <x:c r="U120" s="23" t="n">
        <x:f>IFERROR(H120/T120,0)</x:f>
        <x:v>0</x:v>
      </x:c>
      <x:c r="V120" s="20"/>
    </x:row>
    <x:row r="121">
      <x:c r="A121" s="20"/>
      <x:c r="B121" s="20"/>
      <x:c r="C121" s="21"/>
      <x:c r="D121" s="20"/>
      <x:c r="E121" s="20"/>
      <x:c r="F121" s="20"/>
      <x:c r="G121" s="22"/>
      <x:c r="H121" s="22"/>
      <x:c r="I121" s="22"/>
      <x:c r="J121" s="23"/>
      <x:c r="K121" s="20"/>
      <x:c r="L121" s="20"/>
      <x:c r="M121" s="21"/>
      <x:c r="N121" s="20"/>
      <x:c r="O121" s="24" t="str">
        <x:f>IF(C121="","",MAX(0,TODAY()-C121))</x:f>
      </x:c>
      <x:c r="P121" s="22" t="str">
        <x:f>IF(OR(G121="",J121=""),"",G121*J121)</x:f>
      </x:c>
      <x:c r="Q121" s="20"/>
      <x:c r="R121" s="20"/>
      <x:c r="S121" s="20"/>
      <x:c r="T121" s="22" t="str">
        <x:f>IF(K121="","",IFERROR(VLOOKUP(K121,Listas!$G$2:$J$8,4,FALSE),0))</x:f>
      </x:c>
      <x:c r="U121" s="23" t="n">
        <x:f>IFERROR(H121/T121,0)</x:f>
        <x:v>0</x:v>
      </x:c>
      <x:c r="V121" s="20"/>
    </x:row>
    <x:row r="122">
      <x:c r="A122" s="20"/>
      <x:c r="B122" s="20"/>
      <x:c r="C122" s="21"/>
      <x:c r="D122" s="20"/>
      <x:c r="E122" s="20"/>
      <x:c r="F122" s="20"/>
      <x:c r="G122" s="22"/>
      <x:c r="H122" s="22"/>
      <x:c r="I122" s="22"/>
      <x:c r="J122" s="23"/>
      <x:c r="K122" s="20"/>
      <x:c r="L122" s="20"/>
      <x:c r="M122" s="21"/>
      <x:c r="N122" s="20"/>
      <x:c r="O122" s="24" t="str">
        <x:f>IF(C122="","",MAX(0,TODAY()-C122))</x:f>
      </x:c>
      <x:c r="P122" s="22" t="str">
        <x:f>IF(OR(G122="",J122=""),"",G122*J122)</x:f>
      </x:c>
      <x:c r="Q122" s="20"/>
      <x:c r="R122" s="20"/>
      <x:c r="S122" s="20"/>
      <x:c r="T122" s="22" t="str">
        <x:f>IF(K122="","",IFERROR(VLOOKUP(K122,Listas!$G$2:$J$8,4,FALSE),0))</x:f>
      </x:c>
      <x:c r="U122" s="23" t="n">
        <x:f>IFERROR(H122/T122,0)</x:f>
        <x:v>0</x:v>
      </x:c>
      <x:c r="V122" s="20"/>
    </x:row>
    <x:row r="123">
      <x:c r="A123" s="20"/>
      <x:c r="B123" s="20"/>
      <x:c r="C123" s="21"/>
      <x:c r="D123" s="20"/>
      <x:c r="E123" s="20"/>
      <x:c r="F123" s="20"/>
      <x:c r="G123" s="22"/>
      <x:c r="H123" s="22"/>
      <x:c r="I123" s="22"/>
      <x:c r="J123" s="23"/>
      <x:c r="K123" s="20"/>
      <x:c r="L123" s="20"/>
      <x:c r="M123" s="21"/>
      <x:c r="N123" s="20"/>
      <x:c r="O123" s="24" t="str">
        <x:f>IF(C123="","",MAX(0,TODAY()-C123))</x:f>
      </x:c>
      <x:c r="P123" s="22" t="str">
        <x:f>IF(OR(G123="",J123=""),"",G123*J123)</x:f>
      </x:c>
      <x:c r="Q123" s="20"/>
      <x:c r="R123" s="20"/>
      <x:c r="S123" s="20"/>
      <x:c r="T123" s="22" t="str">
        <x:f>IF(K123="","",IFERROR(VLOOKUP(K123,Listas!$G$2:$J$8,4,FALSE),0))</x:f>
      </x:c>
      <x:c r="U123" s="23" t="n">
        <x:f>IFERROR(H123/T123,0)</x:f>
        <x:v>0</x:v>
      </x:c>
      <x:c r="V123" s="20"/>
    </x:row>
    <x:row r="124">
      <x:c r="A124" s="20"/>
      <x:c r="B124" s="20"/>
      <x:c r="C124" s="21"/>
      <x:c r="D124" s="20"/>
      <x:c r="E124" s="20"/>
      <x:c r="F124" s="20"/>
      <x:c r="G124" s="22"/>
      <x:c r="H124" s="22"/>
      <x:c r="I124" s="22"/>
      <x:c r="J124" s="23"/>
      <x:c r="K124" s="20"/>
      <x:c r="L124" s="20"/>
      <x:c r="M124" s="21"/>
      <x:c r="N124" s="20"/>
      <x:c r="O124" s="24" t="str">
        <x:f>IF(C124="","",MAX(0,TODAY()-C124))</x:f>
      </x:c>
      <x:c r="P124" s="22" t="str">
        <x:f>IF(OR(G124="",J124=""),"",G124*J124)</x:f>
      </x:c>
      <x:c r="Q124" s="20"/>
      <x:c r="R124" s="20"/>
      <x:c r="S124" s="20"/>
      <x:c r="T124" s="22" t="str">
        <x:f>IF(K124="","",IFERROR(VLOOKUP(K124,Listas!$G$2:$J$8,4,FALSE),0))</x:f>
      </x:c>
      <x:c r="U124" s="23" t="n">
        <x:f>IFERROR(H124/T124,0)</x:f>
        <x:v>0</x:v>
      </x:c>
      <x:c r="V124" s="20"/>
    </x:row>
    <x:row r="125">
      <x:c r="A125" s="20"/>
      <x:c r="B125" s="20"/>
      <x:c r="C125" s="21"/>
      <x:c r="D125" s="20"/>
      <x:c r="E125" s="20"/>
      <x:c r="F125" s="20"/>
      <x:c r="G125" s="22"/>
      <x:c r="H125" s="22"/>
      <x:c r="I125" s="22"/>
      <x:c r="J125" s="23"/>
      <x:c r="K125" s="20"/>
      <x:c r="L125" s="20"/>
      <x:c r="M125" s="21"/>
      <x:c r="N125" s="20"/>
      <x:c r="O125" s="24" t="str">
        <x:f>IF(C125="","",MAX(0,TODAY()-C125))</x:f>
      </x:c>
      <x:c r="P125" s="22" t="str">
        <x:f>IF(OR(G125="",J125=""),"",G125*J125)</x:f>
      </x:c>
      <x:c r="Q125" s="20"/>
      <x:c r="R125" s="20"/>
      <x:c r="S125" s="20"/>
      <x:c r="T125" s="22" t="str">
        <x:f>IF(K125="","",IFERROR(VLOOKUP(K125,Listas!$G$2:$J$8,4,FALSE),0))</x:f>
      </x:c>
      <x:c r="U125" s="23" t="n">
        <x:f>IFERROR(H125/T125,0)</x:f>
        <x:v>0</x:v>
      </x:c>
      <x:c r="V125" s="20"/>
    </x:row>
    <x:row r="126">
      <x:c r="A126" s="20"/>
      <x:c r="B126" s="20"/>
      <x:c r="C126" s="21"/>
      <x:c r="D126" s="20"/>
      <x:c r="E126" s="20"/>
      <x:c r="F126" s="20"/>
      <x:c r="G126" s="22"/>
      <x:c r="H126" s="22"/>
      <x:c r="I126" s="22"/>
      <x:c r="J126" s="23"/>
      <x:c r="K126" s="20"/>
      <x:c r="L126" s="20"/>
      <x:c r="M126" s="21"/>
      <x:c r="N126" s="20"/>
      <x:c r="O126" s="24" t="str">
        <x:f>IF(C126="","",MAX(0,TODAY()-C126))</x:f>
      </x:c>
      <x:c r="P126" s="22" t="str">
        <x:f>IF(OR(G126="",J126=""),"",G126*J126)</x:f>
      </x:c>
      <x:c r="Q126" s="20"/>
      <x:c r="R126" s="20"/>
      <x:c r="S126" s="20"/>
      <x:c r="T126" s="22" t="str">
        <x:f>IF(K126="","",IFERROR(VLOOKUP(K126,Listas!$G$2:$J$8,4,FALSE),0))</x:f>
      </x:c>
      <x:c r="U126" s="23" t="n">
        <x:f>IFERROR(H126/T126,0)</x:f>
        <x:v>0</x:v>
      </x:c>
      <x:c r="V126" s="20"/>
    </x:row>
    <x:row r="127">
      <x:c r="A127" s="20"/>
      <x:c r="B127" s="20"/>
      <x:c r="C127" s="21"/>
      <x:c r="D127" s="20"/>
      <x:c r="E127" s="20"/>
      <x:c r="F127" s="20"/>
      <x:c r="G127" s="22"/>
      <x:c r="H127" s="22"/>
      <x:c r="I127" s="22"/>
      <x:c r="J127" s="23"/>
      <x:c r="K127" s="20"/>
      <x:c r="L127" s="20"/>
      <x:c r="M127" s="21"/>
      <x:c r="N127" s="20"/>
      <x:c r="O127" s="24" t="str">
        <x:f>IF(C127="","",MAX(0,TODAY()-C127))</x:f>
      </x:c>
      <x:c r="P127" s="22" t="str">
        <x:f>IF(OR(G127="",J127=""),"",G127*J127)</x:f>
      </x:c>
      <x:c r="Q127" s="20"/>
      <x:c r="R127" s="20"/>
      <x:c r="S127" s="20"/>
      <x:c r="T127" s="22" t="str">
        <x:f>IF(K127="","",IFERROR(VLOOKUP(K127,Listas!$G$2:$J$8,4,FALSE),0))</x:f>
      </x:c>
      <x:c r="U127" s="23" t="n">
        <x:f>IFERROR(H127/T127,0)</x:f>
        <x:v>0</x:v>
      </x:c>
      <x:c r="V127" s="20"/>
    </x:row>
    <x:row r="128">
      <x:c r="A128" s="20"/>
      <x:c r="B128" s="20"/>
      <x:c r="C128" s="21"/>
      <x:c r="D128" s="20"/>
      <x:c r="E128" s="20"/>
      <x:c r="F128" s="20"/>
      <x:c r="G128" s="22"/>
      <x:c r="H128" s="22"/>
      <x:c r="I128" s="22"/>
      <x:c r="J128" s="23"/>
      <x:c r="K128" s="20"/>
      <x:c r="L128" s="20"/>
      <x:c r="M128" s="21"/>
      <x:c r="N128" s="20"/>
      <x:c r="O128" s="24" t="str">
        <x:f>IF(C128="","",MAX(0,TODAY()-C128))</x:f>
      </x:c>
      <x:c r="P128" s="22" t="str">
        <x:f>IF(OR(G128="",J128=""),"",G128*J128)</x:f>
      </x:c>
      <x:c r="Q128" s="20"/>
      <x:c r="R128" s="20"/>
      <x:c r="S128" s="20"/>
      <x:c r="T128" s="22" t="str">
        <x:f>IF(K128="","",IFERROR(VLOOKUP(K128,Listas!$G$2:$J$8,4,FALSE),0))</x:f>
      </x:c>
      <x:c r="U128" s="23" t="n">
        <x:f>IFERROR(H128/T128,0)</x:f>
        <x:v>0</x:v>
      </x:c>
      <x:c r="V128" s="20"/>
    </x:row>
    <x:row r="129">
      <x:c r="A129" s="20"/>
      <x:c r="B129" s="20"/>
      <x:c r="C129" s="21"/>
      <x:c r="D129" s="20"/>
      <x:c r="E129" s="20"/>
      <x:c r="F129" s="20"/>
      <x:c r="G129" s="22"/>
      <x:c r="H129" s="22"/>
      <x:c r="I129" s="22"/>
      <x:c r="J129" s="23"/>
      <x:c r="K129" s="20"/>
      <x:c r="L129" s="20"/>
      <x:c r="M129" s="21"/>
      <x:c r="N129" s="20"/>
      <x:c r="O129" s="24" t="str">
        <x:f>IF(C129="","",MAX(0,TODAY()-C129))</x:f>
      </x:c>
      <x:c r="P129" s="22" t="str">
        <x:f>IF(OR(G129="",J129=""),"",G129*J129)</x:f>
      </x:c>
      <x:c r="Q129" s="20"/>
      <x:c r="R129" s="20"/>
      <x:c r="S129" s="20"/>
      <x:c r="T129" s="22" t="str">
        <x:f>IF(K129="","",IFERROR(VLOOKUP(K129,Listas!$G$2:$J$8,4,FALSE),0))</x:f>
      </x:c>
      <x:c r="U129" s="23" t="n">
        <x:f>IFERROR(H129/T129,0)</x:f>
        <x:v>0</x:v>
      </x:c>
      <x:c r="V129" s="20"/>
    </x:row>
    <x:row r="130">
      <x:c r="A130" s="20"/>
      <x:c r="B130" s="20"/>
      <x:c r="C130" s="21"/>
      <x:c r="D130" s="20"/>
      <x:c r="E130" s="20"/>
      <x:c r="F130" s="20"/>
      <x:c r="G130" s="22"/>
      <x:c r="H130" s="22"/>
      <x:c r="I130" s="22"/>
      <x:c r="J130" s="23"/>
      <x:c r="K130" s="20"/>
      <x:c r="L130" s="20"/>
      <x:c r="M130" s="21"/>
      <x:c r="N130" s="20"/>
      <x:c r="O130" s="24" t="str">
        <x:f>IF(C130="","",MAX(0,TODAY()-C130))</x:f>
      </x:c>
      <x:c r="P130" s="22" t="str">
        <x:f>IF(OR(G130="",J130=""),"",G130*J130)</x:f>
      </x:c>
      <x:c r="Q130" s="20"/>
      <x:c r="R130" s="20"/>
      <x:c r="S130" s="20"/>
      <x:c r="T130" s="22" t="str">
        <x:f>IF(K130="","",IFERROR(VLOOKUP(K130,Listas!$G$2:$J$8,4,FALSE),0))</x:f>
      </x:c>
      <x:c r="U130" s="23" t="n">
        <x:f>IFERROR(H130/T130,0)</x:f>
        <x:v>0</x:v>
      </x:c>
      <x:c r="V130" s="20"/>
    </x:row>
    <x:row r="131">
      <x:c r="A131" s="20"/>
      <x:c r="B131" s="20"/>
      <x:c r="C131" s="21"/>
      <x:c r="D131" s="20"/>
      <x:c r="E131" s="20"/>
      <x:c r="F131" s="20"/>
      <x:c r="G131" s="22"/>
      <x:c r="H131" s="22"/>
      <x:c r="I131" s="22"/>
      <x:c r="J131" s="23"/>
      <x:c r="K131" s="20"/>
      <x:c r="L131" s="20"/>
      <x:c r="M131" s="21"/>
      <x:c r="N131" s="20"/>
      <x:c r="O131" s="24" t="str">
        <x:f>IF(C131="","",MAX(0,TODAY()-C131))</x:f>
      </x:c>
      <x:c r="P131" s="22" t="str">
        <x:f>IF(OR(G131="",J131=""),"",G131*J131)</x:f>
      </x:c>
      <x:c r="Q131" s="20"/>
      <x:c r="R131" s="20"/>
      <x:c r="S131" s="20"/>
      <x:c r="T131" s="22" t="str">
        <x:f>IF(K131="","",IFERROR(VLOOKUP(K131,Listas!$G$2:$J$8,4,FALSE),0))</x:f>
      </x:c>
      <x:c r="U131" s="23" t="n">
        <x:f>IFERROR(H131/T131,0)</x:f>
        <x:v>0</x:v>
      </x:c>
      <x:c r="V131" s="20"/>
    </x:row>
    <x:row r="132">
      <x:c r="A132" s="20"/>
      <x:c r="B132" s="20"/>
      <x:c r="C132" s="21"/>
      <x:c r="D132" s="20"/>
      <x:c r="E132" s="20"/>
      <x:c r="F132" s="20"/>
      <x:c r="G132" s="22"/>
      <x:c r="H132" s="22"/>
      <x:c r="I132" s="22"/>
      <x:c r="J132" s="23"/>
      <x:c r="K132" s="20"/>
      <x:c r="L132" s="20"/>
      <x:c r="M132" s="21"/>
      <x:c r="N132" s="20"/>
      <x:c r="O132" s="24" t="str">
        <x:f>IF(C132="","",MAX(0,TODAY()-C132))</x:f>
      </x:c>
      <x:c r="P132" s="22" t="str">
        <x:f>IF(OR(G132="",J132=""),"",G132*J132)</x:f>
      </x:c>
      <x:c r="Q132" s="20"/>
      <x:c r="R132" s="20"/>
      <x:c r="S132" s="20"/>
      <x:c r="T132" s="22" t="str">
        <x:f>IF(K132="","",IFERROR(VLOOKUP(K132,Listas!$G$2:$J$8,4,FALSE),0))</x:f>
      </x:c>
      <x:c r="U132" s="23" t="n">
        <x:f>IFERROR(H132/T132,0)</x:f>
        <x:v>0</x:v>
      </x:c>
      <x:c r="V132" s="20"/>
    </x:row>
    <x:row r="133">
      <x:c r="A133" s="20"/>
      <x:c r="B133" s="20"/>
      <x:c r="C133" s="21"/>
      <x:c r="D133" s="20"/>
      <x:c r="E133" s="20"/>
      <x:c r="F133" s="20"/>
      <x:c r="G133" s="22"/>
      <x:c r="H133" s="22"/>
      <x:c r="I133" s="22"/>
      <x:c r="J133" s="23"/>
      <x:c r="K133" s="20"/>
      <x:c r="L133" s="20"/>
      <x:c r="M133" s="21"/>
      <x:c r="N133" s="20"/>
      <x:c r="O133" s="24" t="str">
        <x:f>IF(C133="","",MAX(0,TODAY()-C133))</x:f>
      </x:c>
      <x:c r="P133" s="22" t="str">
        <x:f>IF(OR(G133="",J133=""),"",G133*J133)</x:f>
      </x:c>
      <x:c r="Q133" s="20"/>
      <x:c r="R133" s="20"/>
      <x:c r="S133" s="20"/>
      <x:c r="T133" s="22" t="str">
        <x:f>IF(K133="","",IFERROR(VLOOKUP(K133,Listas!$G$2:$J$8,4,FALSE),0))</x:f>
      </x:c>
      <x:c r="U133" s="23" t="n">
        <x:f>IFERROR(H133/T133,0)</x:f>
        <x:v>0</x:v>
      </x:c>
      <x:c r="V133" s="20"/>
    </x:row>
    <x:row r="134">
      <x:c r="A134" s="20"/>
      <x:c r="B134" s="20"/>
      <x:c r="C134" s="21"/>
      <x:c r="D134" s="20"/>
      <x:c r="E134" s="20"/>
      <x:c r="F134" s="20"/>
      <x:c r="G134" s="22"/>
      <x:c r="H134" s="22"/>
      <x:c r="I134" s="22"/>
      <x:c r="J134" s="23"/>
      <x:c r="K134" s="20"/>
      <x:c r="L134" s="20"/>
      <x:c r="M134" s="21"/>
      <x:c r="N134" s="20"/>
      <x:c r="O134" s="24" t="str">
        <x:f>IF(C134="","",MAX(0,TODAY()-C134))</x:f>
      </x:c>
      <x:c r="P134" s="22" t="str">
        <x:f>IF(OR(G134="",J134=""),"",G134*J134)</x:f>
      </x:c>
      <x:c r="Q134" s="20"/>
      <x:c r="R134" s="20"/>
      <x:c r="S134" s="20"/>
      <x:c r="T134" s="22" t="str">
        <x:f>IF(K134="","",IFERROR(VLOOKUP(K134,Listas!$G$2:$J$8,4,FALSE),0))</x:f>
      </x:c>
      <x:c r="U134" s="23" t="n">
        <x:f>IFERROR(H134/T134,0)</x:f>
        <x:v>0</x:v>
      </x:c>
      <x:c r="V134" s="20"/>
    </x:row>
    <x:row r="135">
      <x:c r="A135" s="20"/>
      <x:c r="B135" s="20"/>
      <x:c r="C135" s="21"/>
      <x:c r="D135" s="20"/>
      <x:c r="E135" s="20"/>
      <x:c r="F135" s="20"/>
      <x:c r="G135" s="22"/>
      <x:c r="H135" s="22"/>
      <x:c r="I135" s="22"/>
      <x:c r="J135" s="23"/>
      <x:c r="K135" s="20"/>
      <x:c r="L135" s="20"/>
      <x:c r="M135" s="21"/>
      <x:c r="N135" s="20"/>
      <x:c r="O135" s="24" t="str">
        <x:f>IF(C135="","",MAX(0,TODAY()-C135))</x:f>
      </x:c>
      <x:c r="P135" s="22" t="str">
        <x:f>IF(OR(G135="",J135=""),"",G135*J135)</x:f>
      </x:c>
      <x:c r="Q135" s="20"/>
      <x:c r="R135" s="20"/>
      <x:c r="S135" s="20"/>
      <x:c r="T135" s="22" t="str">
        <x:f>IF(K135="","",IFERROR(VLOOKUP(K135,Listas!$G$2:$J$8,4,FALSE),0))</x:f>
      </x:c>
      <x:c r="U135" s="23" t="n">
        <x:f>IFERROR(H135/T135,0)</x:f>
        <x:v>0</x:v>
      </x:c>
      <x:c r="V135" s="20"/>
    </x:row>
    <x:row r="136">
      <x:c r="A136" s="20"/>
      <x:c r="B136" s="20"/>
      <x:c r="C136" s="21"/>
      <x:c r="D136" s="20"/>
      <x:c r="E136" s="20"/>
      <x:c r="F136" s="20"/>
      <x:c r="G136" s="22"/>
      <x:c r="H136" s="22"/>
      <x:c r="I136" s="22"/>
      <x:c r="J136" s="23"/>
      <x:c r="K136" s="20"/>
      <x:c r="L136" s="20"/>
      <x:c r="M136" s="21"/>
      <x:c r="N136" s="20"/>
      <x:c r="O136" s="24" t="str">
        <x:f>IF(C136="","",MAX(0,TODAY()-C136))</x:f>
      </x:c>
      <x:c r="P136" s="22" t="str">
        <x:f>IF(OR(G136="",J136=""),"",G136*J136)</x:f>
      </x:c>
      <x:c r="Q136" s="20"/>
      <x:c r="R136" s="20"/>
      <x:c r="S136" s="20"/>
      <x:c r="T136" s="22" t="str">
        <x:f>IF(K136="","",IFERROR(VLOOKUP(K136,Listas!$G$2:$J$8,4,FALSE),0))</x:f>
      </x:c>
      <x:c r="U136" s="23" t="n">
        <x:f>IFERROR(H136/T136,0)</x:f>
        <x:v>0</x:v>
      </x:c>
      <x:c r="V136" s="20"/>
    </x:row>
    <x:row r="137">
      <x:c r="A137" s="20"/>
      <x:c r="B137" s="20"/>
      <x:c r="C137" s="21"/>
      <x:c r="D137" s="20"/>
      <x:c r="E137" s="20"/>
      <x:c r="F137" s="20"/>
      <x:c r="G137" s="22"/>
      <x:c r="H137" s="22"/>
      <x:c r="I137" s="22"/>
      <x:c r="J137" s="23"/>
      <x:c r="K137" s="20"/>
      <x:c r="L137" s="20"/>
      <x:c r="M137" s="21"/>
      <x:c r="N137" s="20"/>
      <x:c r="O137" s="24" t="str">
        <x:f>IF(C137="","",MAX(0,TODAY()-C137))</x:f>
      </x:c>
      <x:c r="P137" s="22" t="str">
        <x:f>IF(OR(G137="",J137=""),"",G137*J137)</x:f>
      </x:c>
      <x:c r="Q137" s="20"/>
      <x:c r="R137" s="20"/>
      <x:c r="S137" s="20"/>
      <x:c r="T137" s="22" t="str">
        <x:f>IF(K137="","",IFERROR(VLOOKUP(K137,Listas!$G$2:$J$8,4,FALSE),0))</x:f>
      </x:c>
      <x:c r="U137" s="23" t="n">
        <x:f>IFERROR(H137/T137,0)</x:f>
        <x:v>0</x:v>
      </x:c>
      <x:c r="V137" s="20"/>
    </x:row>
    <x:row r="138">
      <x:c r="A138" s="20"/>
      <x:c r="B138" s="20"/>
      <x:c r="C138" s="21"/>
      <x:c r="D138" s="20"/>
      <x:c r="E138" s="20"/>
      <x:c r="F138" s="20"/>
      <x:c r="G138" s="22"/>
      <x:c r="H138" s="22"/>
      <x:c r="I138" s="22"/>
      <x:c r="J138" s="23"/>
      <x:c r="K138" s="20"/>
      <x:c r="L138" s="20"/>
      <x:c r="M138" s="21"/>
      <x:c r="N138" s="20"/>
      <x:c r="O138" s="24" t="str">
        <x:f>IF(C138="","",MAX(0,TODAY()-C138))</x:f>
      </x:c>
      <x:c r="P138" s="22" t="str">
        <x:f>IF(OR(G138="",J138=""),"",G138*J138)</x:f>
      </x:c>
      <x:c r="Q138" s="20"/>
      <x:c r="R138" s="20"/>
      <x:c r="S138" s="20"/>
      <x:c r="T138" s="22" t="str">
        <x:f>IF(K138="","",IFERROR(VLOOKUP(K138,Listas!$G$2:$J$8,4,FALSE),0))</x:f>
      </x:c>
      <x:c r="U138" s="23" t="n">
        <x:f>IFERROR(H138/T138,0)</x:f>
        <x:v>0</x:v>
      </x:c>
      <x:c r="V138" s="20"/>
    </x:row>
    <x:row r="139">
      <x:c r="A139" s="20"/>
      <x:c r="B139" s="20"/>
      <x:c r="C139" s="21"/>
      <x:c r="D139" s="20"/>
      <x:c r="E139" s="20"/>
      <x:c r="F139" s="20"/>
      <x:c r="G139" s="22"/>
      <x:c r="H139" s="22"/>
      <x:c r="I139" s="22"/>
      <x:c r="J139" s="23"/>
      <x:c r="K139" s="20"/>
      <x:c r="L139" s="20"/>
      <x:c r="M139" s="21"/>
      <x:c r="N139" s="20"/>
      <x:c r="O139" s="24" t="str">
        <x:f>IF(C139="","",MAX(0,TODAY()-C139))</x:f>
      </x:c>
      <x:c r="P139" s="22" t="str">
        <x:f>IF(OR(G139="",J139=""),"",G139*J139)</x:f>
      </x:c>
      <x:c r="Q139" s="20"/>
      <x:c r="R139" s="20"/>
      <x:c r="S139" s="20"/>
      <x:c r="T139" s="22" t="str">
        <x:f>IF(K139="","",IFERROR(VLOOKUP(K139,Listas!$G$2:$J$8,4,FALSE),0))</x:f>
      </x:c>
      <x:c r="U139" s="23" t="n">
        <x:f>IFERROR(H139/T139,0)</x:f>
        <x:v>0</x:v>
      </x:c>
      <x:c r="V139" s="20"/>
    </x:row>
    <x:row r="140">
      <x:c r="A140" s="20"/>
      <x:c r="B140" s="20"/>
      <x:c r="C140" s="21"/>
      <x:c r="D140" s="20"/>
      <x:c r="E140" s="20"/>
      <x:c r="F140" s="20"/>
      <x:c r="G140" s="22"/>
      <x:c r="H140" s="22"/>
      <x:c r="I140" s="22"/>
      <x:c r="J140" s="23"/>
      <x:c r="K140" s="20"/>
      <x:c r="L140" s="20"/>
      <x:c r="M140" s="21"/>
      <x:c r="N140" s="20"/>
      <x:c r="O140" s="24" t="str">
        <x:f>IF(C140="","",MAX(0,TODAY()-C140))</x:f>
      </x:c>
      <x:c r="P140" s="22" t="str">
        <x:f>IF(OR(G140="",J140=""),"",G140*J140)</x:f>
      </x:c>
      <x:c r="Q140" s="20"/>
      <x:c r="R140" s="20"/>
      <x:c r="S140" s="20"/>
      <x:c r="T140" s="22" t="str">
        <x:f>IF(K140="","",IFERROR(VLOOKUP(K140,Listas!$G$2:$J$8,4,FALSE),0))</x:f>
      </x:c>
      <x:c r="U140" s="23" t="n">
        <x:f>IFERROR(H140/T140,0)</x:f>
        <x:v>0</x:v>
      </x:c>
      <x:c r="V140" s="20"/>
    </x:row>
    <x:row r="141">
      <x:c r="A141" s="20"/>
      <x:c r="B141" s="20"/>
      <x:c r="C141" s="21"/>
      <x:c r="D141" s="20"/>
      <x:c r="E141" s="20"/>
      <x:c r="F141" s="20"/>
      <x:c r="G141" s="22"/>
      <x:c r="H141" s="22"/>
      <x:c r="I141" s="22"/>
      <x:c r="J141" s="23"/>
      <x:c r="K141" s="20"/>
      <x:c r="L141" s="20"/>
      <x:c r="M141" s="21"/>
      <x:c r="N141" s="20"/>
      <x:c r="O141" s="24" t="str">
        <x:f>IF(C141="","",MAX(0,TODAY()-C141))</x:f>
      </x:c>
      <x:c r="P141" s="22" t="str">
        <x:f>IF(OR(G141="",J141=""),"",G141*J141)</x:f>
      </x:c>
      <x:c r="Q141" s="20"/>
      <x:c r="R141" s="20"/>
      <x:c r="S141" s="20"/>
      <x:c r="T141" s="22" t="str">
        <x:f>IF(K141="","",IFERROR(VLOOKUP(K141,Listas!$G$2:$J$8,4,FALSE),0))</x:f>
      </x:c>
      <x:c r="U141" s="23" t="n">
        <x:f>IFERROR(H141/T141,0)</x:f>
        <x:v>0</x:v>
      </x:c>
      <x:c r="V141" s="20"/>
    </x:row>
    <x:row r="142">
      <x:c r="A142" s="20"/>
      <x:c r="B142" s="20"/>
      <x:c r="C142" s="21"/>
      <x:c r="D142" s="20"/>
      <x:c r="E142" s="20"/>
      <x:c r="F142" s="20"/>
      <x:c r="G142" s="22"/>
      <x:c r="H142" s="22"/>
      <x:c r="I142" s="22"/>
      <x:c r="J142" s="23"/>
      <x:c r="K142" s="20"/>
      <x:c r="L142" s="20"/>
      <x:c r="M142" s="21"/>
      <x:c r="N142" s="20"/>
      <x:c r="O142" s="24" t="str">
        <x:f>IF(C142="","",MAX(0,TODAY()-C142))</x:f>
      </x:c>
      <x:c r="P142" s="22" t="str">
        <x:f>IF(OR(G142="",J142=""),"",G142*J142)</x:f>
      </x:c>
      <x:c r="Q142" s="20"/>
      <x:c r="R142" s="20"/>
      <x:c r="S142" s="20"/>
      <x:c r="T142" s="22" t="str">
        <x:f>IF(K142="","",IFERROR(VLOOKUP(K142,Listas!$G$2:$J$8,4,FALSE),0))</x:f>
      </x:c>
      <x:c r="U142" s="23" t="n">
        <x:f>IFERROR(H142/T142,0)</x:f>
        <x:v>0</x:v>
      </x:c>
      <x:c r="V142" s="20"/>
    </x:row>
    <x:row r="143">
      <x:c r="A143" s="20"/>
      <x:c r="B143" s="20"/>
      <x:c r="C143" s="21"/>
      <x:c r="D143" s="20"/>
      <x:c r="E143" s="20"/>
      <x:c r="F143" s="20"/>
      <x:c r="G143" s="22"/>
      <x:c r="H143" s="22"/>
      <x:c r="I143" s="22"/>
      <x:c r="J143" s="23"/>
      <x:c r="K143" s="20"/>
      <x:c r="L143" s="20"/>
      <x:c r="M143" s="21"/>
      <x:c r="N143" s="20"/>
      <x:c r="O143" s="24" t="str">
        <x:f>IF(C143="","",MAX(0,TODAY()-C143))</x:f>
      </x:c>
      <x:c r="P143" s="22" t="str">
        <x:f>IF(OR(G143="",J143=""),"",G143*J143)</x:f>
      </x:c>
      <x:c r="Q143" s="20"/>
      <x:c r="R143" s="20"/>
      <x:c r="S143" s="20"/>
      <x:c r="T143" s="22" t="str">
        <x:f>IF(K143="","",IFERROR(VLOOKUP(K143,Listas!$G$2:$J$8,4,FALSE),0))</x:f>
      </x:c>
      <x:c r="U143" s="23" t="n">
        <x:f>IFERROR(H143/T143,0)</x:f>
        <x:v>0</x:v>
      </x:c>
      <x:c r="V143" s="20"/>
    </x:row>
    <x:row r="144">
      <x:c r="A144" s="20"/>
      <x:c r="B144" s="20"/>
      <x:c r="C144" s="21"/>
      <x:c r="D144" s="20"/>
      <x:c r="E144" s="20"/>
      <x:c r="F144" s="20"/>
      <x:c r="G144" s="22"/>
      <x:c r="H144" s="22"/>
      <x:c r="I144" s="22"/>
      <x:c r="J144" s="23"/>
      <x:c r="K144" s="20"/>
      <x:c r="L144" s="20"/>
      <x:c r="M144" s="21"/>
      <x:c r="N144" s="20"/>
      <x:c r="O144" s="24" t="str">
        <x:f>IF(C144="","",MAX(0,TODAY()-C144))</x:f>
      </x:c>
      <x:c r="P144" s="22" t="str">
        <x:f>IF(OR(G144="",J144=""),"",G144*J144)</x:f>
      </x:c>
      <x:c r="Q144" s="20"/>
      <x:c r="R144" s="20"/>
      <x:c r="S144" s="20"/>
      <x:c r="T144" s="22" t="str">
        <x:f>IF(K144="","",IFERROR(VLOOKUP(K144,Listas!$G$2:$J$8,4,FALSE),0))</x:f>
      </x:c>
      <x:c r="U144" s="23" t="n">
        <x:f>IFERROR(H144/T144,0)</x:f>
        <x:v>0</x:v>
      </x:c>
      <x:c r="V144" s="20"/>
    </x:row>
    <x:row r="145">
      <x:c r="A145" s="20"/>
      <x:c r="B145" s="20"/>
      <x:c r="C145" s="21"/>
      <x:c r="D145" s="20"/>
      <x:c r="E145" s="20"/>
      <x:c r="F145" s="20"/>
      <x:c r="G145" s="22"/>
      <x:c r="H145" s="22"/>
      <x:c r="I145" s="22"/>
      <x:c r="J145" s="23"/>
      <x:c r="K145" s="20"/>
      <x:c r="L145" s="20"/>
      <x:c r="M145" s="21"/>
      <x:c r="N145" s="20"/>
      <x:c r="O145" s="24" t="str">
        <x:f>IF(C145="","",MAX(0,TODAY()-C145))</x:f>
      </x:c>
      <x:c r="P145" s="22" t="str">
        <x:f>IF(OR(G145="",J145=""),"",G145*J145)</x:f>
      </x:c>
      <x:c r="Q145" s="20"/>
      <x:c r="R145" s="20"/>
      <x:c r="S145" s="20"/>
      <x:c r="T145" s="22" t="str">
        <x:f>IF(K145="","",IFERROR(VLOOKUP(K145,Listas!$G$2:$J$8,4,FALSE),0))</x:f>
      </x:c>
      <x:c r="U145" s="23" t="n">
        <x:f>IFERROR(H145/T145,0)</x:f>
        <x:v>0</x:v>
      </x:c>
      <x:c r="V145" s="20"/>
    </x:row>
    <x:row r="146">
      <x:c r="A146" s="20"/>
      <x:c r="B146" s="20"/>
      <x:c r="C146" s="21"/>
      <x:c r="D146" s="20"/>
      <x:c r="E146" s="20"/>
      <x:c r="F146" s="20"/>
      <x:c r="G146" s="22"/>
      <x:c r="H146" s="22"/>
      <x:c r="I146" s="22"/>
      <x:c r="J146" s="23"/>
      <x:c r="K146" s="20"/>
      <x:c r="L146" s="20"/>
      <x:c r="M146" s="21"/>
      <x:c r="N146" s="20"/>
      <x:c r="O146" s="24" t="str">
        <x:f>IF(C146="","",MAX(0,TODAY()-C146))</x:f>
      </x:c>
      <x:c r="P146" s="22" t="str">
        <x:f>IF(OR(G146="",J146=""),"",G146*J146)</x:f>
      </x:c>
      <x:c r="Q146" s="20"/>
      <x:c r="R146" s="20"/>
      <x:c r="S146" s="20"/>
      <x:c r="T146" s="22" t="str">
        <x:f>IF(K146="","",IFERROR(VLOOKUP(K146,Listas!$G$2:$J$8,4,FALSE),0))</x:f>
      </x:c>
      <x:c r="U146" s="23" t="n">
        <x:f>IFERROR(H146/T146,0)</x:f>
        <x:v>0</x:v>
      </x:c>
      <x:c r="V146" s="20"/>
    </x:row>
    <x:row r="147">
      <x:c r="A147" s="20"/>
      <x:c r="B147" s="20"/>
      <x:c r="C147" s="21"/>
      <x:c r="D147" s="20"/>
      <x:c r="E147" s="20"/>
      <x:c r="F147" s="20"/>
      <x:c r="G147" s="22"/>
      <x:c r="H147" s="22"/>
      <x:c r="I147" s="22"/>
      <x:c r="J147" s="23"/>
      <x:c r="K147" s="20"/>
      <x:c r="L147" s="20"/>
      <x:c r="M147" s="21"/>
      <x:c r="N147" s="20"/>
      <x:c r="O147" s="24" t="str">
        <x:f>IF(C147="","",MAX(0,TODAY()-C147))</x:f>
      </x:c>
      <x:c r="P147" s="22" t="str">
        <x:f>IF(OR(G147="",J147=""),"",G147*J147)</x:f>
      </x:c>
      <x:c r="Q147" s="20"/>
      <x:c r="R147" s="20"/>
      <x:c r="S147" s="20"/>
      <x:c r="T147" s="22" t="str">
        <x:f>IF(K147="","",IFERROR(VLOOKUP(K147,Listas!$G$2:$J$8,4,FALSE),0))</x:f>
      </x:c>
      <x:c r="U147" s="23" t="n">
        <x:f>IFERROR(H147/T147,0)</x:f>
        <x:v>0</x:v>
      </x:c>
      <x:c r="V147" s="20"/>
    </x:row>
    <x:row r="148">
      <x:c r="A148" s="20"/>
      <x:c r="B148" s="20"/>
      <x:c r="C148" s="21"/>
      <x:c r="D148" s="20"/>
      <x:c r="E148" s="20"/>
      <x:c r="F148" s="20"/>
      <x:c r="G148" s="22"/>
      <x:c r="H148" s="22"/>
      <x:c r="I148" s="22"/>
      <x:c r="J148" s="23"/>
      <x:c r="K148" s="20"/>
      <x:c r="L148" s="20"/>
      <x:c r="M148" s="21"/>
      <x:c r="N148" s="20"/>
      <x:c r="O148" s="24" t="str">
        <x:f>IF(C148="","",MAX(0,TODAY()-C148))</x:f>
      </x:c>
      <x:c r="P148" s="22" t="str">
        <x:f>IF(OR(G148="",J148=""),"",G148*J148)</x:f>
      </x:c>
      <x:c r="Q148" s="20"/>
      <x:c r="R148" s="20"/>
      <x:c r="S148" s="20"/>
      <x:c r="T148" s="22" t="str">
        <x:f>IF(K148="","",IFERROR(VLOOKUP(K148,Listas!$G$2:$J$8,4,FALSE),0))</x:f>
      </x:c>
      <x:c r="U148" s="23" t="n">
        <x:f>IFERROR(H148/T148,0)</x:f>
        <x:v>0</x:v>
      </x:c>
      <x:c r="V148" s="20"/>
    </x:row>
    <x:row r="149">
      <x:c r="A149" s="20"/>
      <x:c r="B149" s="20"/>
      <x:c r="C149" s="21"/>
      <x:c r="D149" s="20"/>
      <x:c r="E149" s="20"/>
      <x:c r="F149" s="20"/>
      <x:c r="G149" s="22"/>
      <x:c r="H149" s="22"/>
      <x:c r="I149" s="22"/>
      <x:c r="J149" s="23"/>
      <x:c r="K149" s="20"/>
      <x:c r="L149" s="20"/>
      <x:c r="M149" s="21"/>
      <x:c r="N149" s="20"/>
      <x:c r="O149" s="24" t="str">
        <x:f>IF(C149="","",MAX(0,TODAY()-C149))</x:f>
      </x:c>
      <x:c r="P149" s="22" t="str">
        <x:f>IF(OR(G149="",J149=""),"",G149*J149)</x:f>
      </x:c>
      <x:c r="Q149" s="20"/>
      <x:c r="R149" s="20"/>
      <x:c r="S149" s="20"/>
      <x:c r="T149" s="22" t="str">
        <x:f>IF(K149="","",IFERROR(VLOOKUP(K149,Listas!$G$2:$J$8,4,FALSE),0))</x:f>
      </x:c>
      <x:c r="U149" s="23" t="n">
        <x:f>IFERROR(H149/T149,0)</x:f>
        <x:v>0</x:v>
      </x:c>
      <x:c r="V149" s="20"/>
    </x:row>
    <x:row r="150">
      <x:c r="A150" s="20"/>
      <x:c r="B150" s="20"/>
      <x:c r="C150" s="21"/>
      <x:c r="D150" s="20"/>
      <x:c r="E150" s="20"/>
      <x:c r="F150" s="20"/>
      <x:c r="G150" s="22"/>
      <x:c r="H150" s="22"/>
      <x:c r="I150" s="22"/>
      <x:c r="J150" s="23"/>
      <x:c r="K150" s="20"/>
      <x:c r="L150" s="20"/>
      <x:c r="M150" s="21"/>
      <x:c r="N150" s="20"/>
      <x:c r="O150" s="24" t="str">
        <x:f>IF(C150="","",MAX(0,TODAY()-C150))</x:f>
      </x:c>
      <x:c r="P150" s="22" t="str">
        <x:f>IF(OR(G150="",J150=""),"",G150*J150)</x:f>
      </x:c>
      <x:c r="Q150" s="20"/>
      <x:c r="R150" s="20"/>
      <x:c r="S150" s="20"/>
      <x:c r="T150" s="22" t="str">
        <x:f>IF(K150="","",IFERROR(VLOOKUP(K150,Listas!$G$2:$J$8,4,FALSE),0))</x:f>
      </x:c>
      <x:c r="U150" s="23" t="n">
        <x:f>IFERROR(H150/T150,0)</x:f>
        <x:v>0</x:v>
      </x:c>
      <x:c r="V150" s="20"/>
    </x:row>
    <x:row r="151">
      <x:c r="A151" s="20"/>
      <x:c r="B151" s="20"/>
      <x:c r="C151" s="21"/>
      <x:c r="D151" s="20"/>
      <x:c r="E151" s="20"/>
      <x:c r="F151" s="20"/>
      <x:c r="G151" s="22"/>
      <x:c r="H151" s="22"/>
      <x:c r="I151" s="22"/>
      <x:c r="J151" s="23"/>
      <x:c r="K151" s="20"/>
      <x:c r="L151" s="20"/>
      <x:c r="M151" s="21"/>
      <x:c r="N151" s="20"/>
      <x:c r="O151" s="24" t="str">
        <x:f>IF(C151="","",MAX(0,TODAY()-C151))</x:f>
      </x:c>
      <x:c r="P151" s="22" t="str">
        <x:f>IF(OR(G151="",J151=""),"",G151*J151)</x:f>
      </x:c>
      <x:c r="Q151" s="20"/>
      <x:c r="R151" s="20"/>
      <x:c r="S151" s="20"/>
      <x:c r="T151" s="22" t="str">
        <x:f>IF(K151="","",IFERROR(VLOOKUP(K151,Listas!$G$2:$J$8,4,FALSE),0))</x:f>
      </x:c>
      <x:c r="U151" s="23" t="n">
        <x:f>IFERROR(H151/T151,0)</x:f>
        <x:v>0</x:v>
      </x:c>
      <x:c r="V151" s="20"/>
    </x:row>
    <x:row r="152">
      <x:c r="A152" s="20"/>
      <x:c r="B152" s="20"/>
      <x:c r="C152" s="21"/>
      <x:c r="D152" s="20"/>
      <x:c r="E152" s="20"/>
      <x:c r="F152" s="20"/>
      <x:c r="G152" s="22"/>
      <x:c r="H152" s="22"/>
      <x:c r="I152" s="22"/>
      <x:c r="J152" s="23"/>
      <x:c r="K152" s="20"/>
      <x:c r="L152" s="20"/>
      <x:c r="M152" s="21"/>
      <x:c r="N152" s="20"/>
      <x:c r="O152" s="24" t="str">
        <x:f>IF(C152="","",MAX(0,TODAY()-C152))</x:f>
      </x:c>
      <x:c r="P152" s="22" t="str">
        <x:f>IF(OR(G152="",J152=""),"",G152*J152)</x:f>
      </x:c>
      <x:c r="Q152" s="20"/>
      <x:c r="R152" s="20"/>
      <x:c r="S152" s="20"/>
      <x:c r="T152" s="22" t="str">
        <x:f>IF(K152="","",IFERROR(VLOOKUP(K152,Listas!$G$2:$J$8,4,FALSE),0))</x:f>
      </x:c>
      <x:c r="U152" s="23" t="n">
        <x:f>IFERROR(H152/T152,0)</x:f>
        <x:v>0</x:v>
      </x:c>
      <x:c r="V152" s="20"/>
    </x:row>
    <x:row r="153">
      <x:c r="A153" s="20"/>
      <x:c r="B153" s="20"/>
      <x:c r="C153" s="21"/>
      <x:c r="D153" s="20"/>
      <x:c r="E153" s="20"/>
      <x:c r="F153" s="20"/>
      <x:c r="G153" s="22"/>
      <x:c r="H153" s="22"/>
      <x:c r="I153" s="22"/>
      <x:c r="J153" s="23"/>
      <x:c r="K153" s="20"/>
      <x:c r="L153" s="20"/>
      <x:c r="M153" s="21"/>
      <x:c r="N153" s="20"/>
      <x:c r="O153" s="24" t="str">
        <x:f>IF(C153="","",MAX(0,TODAY()-C153))</x:f>
      </x:c>
      <x:c r="P153" s="22" t="str">
        <x:f>IF(OR(G153="",J153=""),"",G153*J153)</x:f>
      </x:c>
      <x:c r="Q153" s="20"/>
      <x:c r="R153" s="20"/>
      <x:c r="S153" s="20"/>
      <x:c r="T153" s="22" t="str">
        <x:f>IF(K153="","",IFERROR(VLOOKUP(K153,Listas!$G$2:$J$8,4,FALSE),0))</x:f>
      </x:c>
      <x:c r="U153" s="23" t="n">
        <x:f>IFERROR(H153/T153,0)</x:f>
        <x:v>0</x:v>
      </x:c>
      <x:c r="V153" s="20"/>
    </x:row>
    <x:row r="154">
      <x:c r="A154" s="20"/>
      <x:c r="B154" s="20"/>
      <x:c r="C154" s="21"/>
      <x:c r="D154" s="20"/>
      <x:c r="E154" s="20"/>
      <x:c r="F154" s="20"/>
      <x:c r="G154" s="22"/>
      <x:c r="H154" s="22"/>
      <x:c r="I154" s="22"/>
      <x:c r="J154" s="23"/>
      <x:c r="K154" s="20"/>
      <x:c r="L154" s="20"/>
      <x:c r="M154" s="21"/>
      <x:c r="N154" s="20"/>
      <x:c r="O154" s="24" t="str">
        <x:f>IF(C154="","",MAX(0,TODAY()-C154))</x:f>
      </x:c>
      <x:c r="P154" s="22" t="str">
        <x:f>IF(OR(G154="",J154=""),"",G154*J154)</x:f>
      </x:c>
      <x:c r="Q154" s="20"/>
      <x:c r="R154" s="20"/>
      <x:c r="S154" s="20"/>
      <x:c r="T154" s="22" t="str">
        <x:f>IF(K154="","",IFERROR(VLOOKUP(K154,Listas!$G$2:$J$8,4,FALSE),0))</x:f>
      </x:c>
      <x:c r="U154" s="23" t="n">
        <x:f>IFERROR(H154/T154,0)</x:f>
        <x:v>0</x:v>
      </x:c>
      <x:c r="V154" s="20"/>
    </x:row>
    <x:row r="155">
      <x:c r="A155" s="20"/>
      <x:c r="B155" s="20"/>
      <x:c r="C155" s="21"/>
      <x:c r="D155" s="20"/>
      <x:c r="E155" s="20"/>
      <x:c r="F155" s="20"/>
      <x:c r="G155" s="22"/>
      <x:c r="H155" s="22"/>
      <x:c r="I155" s="22"/>
      <x:c r="J155" s="23"/>
      <x:c r="K155" s="20"/>
      <x:c r="L155" s="20"/>
      <x:c r="M155" s="21"/>
      <x:c r="N155" s="20"/>
      <x:c r="O155" s="24" t="str">
        <x:f>IF(C155="","",MAX(0,TODAY()-C155))</x:f>
      </x:c>
      <x:c r="P155" s="22" t="str">
        <x:f>IF(OR(G155="",J155=""),"",G155*J155)</x:f>
      </x:c>
      <x:c r="Q155" s="20"/>
      <x:c r="R155" s="20"/>
      <x:c r="S155" s="20"/>
      <x:c r="T155" s="22" t="str">
        <x:f>IF(K155="","",IFERROR(VLOOKUP(K155,Listas!$G$2:$J$8,4,FALSE),0))</x:f>
      </x:c>
      <x:c r="U155" s="23" t="n">
        <x:f>IFERROR(H155/T155,0)</x:f>
        <x:v>0</x:v>
      </x:c>
      <x:c r="V155" s="20"/>
    </x:row>
    <x:row r="156">
      <x:c r="A156" s="20"/>
      <x:c r="B156" s="20"/>
      <x:c r="C156" s="21"/>
      <x:c r="D156" s="20"/>
      <x:c r="E156" s="20"/>
      <x:c r="F156" s="20"/>
      <x:c r="G156" s="22"/>
      <x:c r="H156" s="22"/>
      <x:c r="I156" s="22"/>
      <x:c r="J156" s="23"/>
      <x:c r="K156" s="20"/>
      <x:c r="L156" s="20"/>
      <x:c r="M156" s="21"/>
      <x:c r="N156" s="20"/>
      <x:c r="O156" s="24" t="str">
        <x:f>IF(C156="","",MAX(0,TODAY()-C156))</x:f>
      </x:c>
      <x:c r="P156" s="22" t="str">
        <x:f>IF(OR(G156="",J156=""),"",G156*J156)</x:f>
      </x:c>
      <x:c r="Q156" s="20"/>
      <x:c r="R156" s="20"/>
      <x:c r="S156" s="20"/>
      <x:c r="T156" s="22" t="str">
        <x:f>IF(K156="","",IFERROR(VLOOKUP(K156,Listas!$G$2:$J$8,4,FALSE),0))</x:f>
      </x:c>
      <x:c r="U156" s="23" t="n">
        <x:f>IFERROR(H156/T156,0)</x:f>
        <x:v>0</x:v>
      </x:c>
      <x:c r="V156" s="20"/>
    </x:row>
    <x:row r="157">
      <x:c r="A157" s="20"/>
      <x:c r="B157" s="20"/>
      <x:c r="C157" s="21"/>
      <x:c r="D157" s="20"/>
      <x:c r="E157" s="20"/>
      <x:c r="F157" s="20"/>
      <x:c r="G157" s="22"/>
      <x:c r="H157" s="22"/>
      <x:c r="I157" s="22"/>
      <x:c r="J157" s="23"/>
      <x:c r="K157" s="20"/>
      <x:c r="L157" s="20"/>
      <x:c r="M157" s="21"/>
      <x:c r="N157" s="20"/>
      <x:c r="O157" s="24" t="str">
        <x:f>IF(C157="","",MAX(0,TODAY()-C157))</x:f>
      </x:c>
      <x:c r="P157" s="22" t="str">
        <x:f>IF(OR(G157="",J157=""),"",G157*J157)</x:f>
      </x:c>
      <x:c r="Q157" s="20"/>
      <x:c r="R157" s="20"/>
      <x:c r="S157" s="20"/>
      <x:c r="T157" s="22" t="str">
        <x:f>IF(K157="","",IFERROR(VLOOKUP(K157,Listas!$G$2:$J$8,4,FALSE),0))</x:f>
      </x:c>
      <x:c r="U157" s="23" t="n">
        <x:f>IFERROR(H157/T157,0)</x:f>
        <x:v>0</x:v>
      </x:c>
      <x:c r="V157" s="20"/>
    </x:row>
    <x:row r="158">
      <x:c r="A158" s="20"/>
      <x:c r="B158" s="20"/>
      <x:c r="C158" s="21"/>
      <x:c r="D158" s="20"/>
      <x:c r="E158" s="20"/>
      <x:c r="F158" s="20"/>
      <x:c r="G158" s="22"/>
      <x:c r="H158" s="22"/>
      <x:c r="I158" s="22"/>
      <x:c r="J158" s="23"/>
      <x:c r="K158" s="20"/>
      <x:c r="L158" s="20"/>
      <x:c r="M158" s="21"/>
      <x:c r="N158" s="20"/>
      <x:c r="O158" s="24" t="str">
        <x:f>IF(C158="","",MAX(0,TODAY()-C158))</x:f>
      </x:c>
      <x:c r="P158" s="22" t="str">
        <x:f>IF(OR(G158="",J158=""),"",G158*J158)</x:f>
      </x:c>
      <x:c r="Q158" s="20"/>
      <x:c r="R158" s="20"/>
      <x:c r="S158" s="20"/>
      <x:c r="T158" s="22" t="str">
        <x:f>IF(K158="","",IFERROR(VLOOKUP(K158,Listas!$G$2:$J$8,4,FALSE),0))</x:f>
      </x:c>
      <x:c r="U158" s="23" t="n">
        <x:f>IFERROR(H158/T158,0)</x:f>
        <x:v>0</x:v>
      </x:c>
      <x:c r="V158" s="20"/>
    </x:row>
    <x:row r="159">
      <x:c r="A159" s="20"/>
      <x:c r="B159" s="20"/>
      <x:c r="C159" s="21"/>
      <x:c r="D159" s="20"/>
      <x:c r="E159" s="20"/>
      <x:c r="F159" s="20"/>
      <x:c r="G159" s="22"/>
      <x:c r="H159" s="22"/>
      <x:c r="I159" s="22"/>
      <x:c r="J159" s="23"/>
      <x:c r="K159" s="20"/>
      <x:c r="L159" s="20"/>
      <x:c r="M159" s="21"/>
      <x:c r="N159" s="20"/>
      <x:c r="O159" s="24" t="str">
        <x:f>IF(C159="","",MAX(0,TODAY()-C159))</x:f>
      </x:c>
      <x:c r="P159" s="22" t="str">
        <x:f>IF(OR(G159="",J159=""),"",G159*J159)</x:f>
      </x:c>
      <x:c r="Q159" s="20"/>
      <x:c r="R159" s="20"/>
      <x:c r="S159" s="20"/>
      <x:c r="T159" s="22" t="str">
        <x:f>IF(K159="","",IFERROR(VLOOKUP(K159,Listas!$G$2:$J$8,4,FALSE),0))</x:f>
      </x:c>
      <x:c r="U159" s="23" t="n">
        <x:f>IFERROR(H159/T159,0)</x:f>
        <x:v>0</x:v>
      </x:c>
      <x:c r="V159" s="20"/>
    </x:row>
    <x:row r="160">
      <x:c r="A160" s="20"/>
      <x:c r="B160" s="20"/>
      <x:c r="C160" s="21"/>
      <x:c r="D160" s="20"/>
      <x:c r="E160" s="20"/>
      <x:c r="F160" s="20"/>
      <x:c r="G160" s="22"/>
      <x:c r="H160" s="22"/>
      <x:c r="I160" s="22"/>
      <x:c r="J160" s="23"/>
      <x:c r="K160" s="20"/>
      <x:c r="L160" s="20"/>
      <x:c r="M160" s="21"/>
      <x:c r="N160" s="20"/>
      <x:c r="O160" s="24" t="str">
        <x:f>IF(C160="","",MAX(0,TODAY()-C160))</x:f>
      </x:c>
      <x:c r="P160" s="22" t="str">
        <x:f>IF(OR(G160="",J160=""),"",G160*J160)</x:f>
      </x:c>
      <x:c r="Q160" s="20"/>
      <x:c r="R160" s="20"/>
      <x:c r="S160" s="20"/>
      <x:c r="T160" s="22" t="str">
        <x:f>IF(K160="","",IFERROR(VLOOKUP(K160,Listas!$G$2:$J$8,4,FALSE),0))</x:f>
      </x:c>
      <x:c r="U160" s="23" t="n">
        <x:f>IFERROR(H160/T160,0)</x:f>
        <x:v>0</x:v>
      </x:c>
      <x:c r="V160" s="20"/>
    </x:row>
    <x:row r="161">
      <x:c r="A161" s="20"/>
      <x:c r="B161" s="20"/>
      <x:c r="C161" s="21"/>
      <x:c r="D161" s="20"/>
      <x:c r="E161" s="20"/>
      <x:c r="F161" s="20"/>
      <x:c r="G161" s="22"/>
      <x:c r="H161" s="22"/>
      <x:c r="I161" s="22"/>
      <x:c r="J161" s="23"/>
      <x:c r="K161" s="20"/>
      <x:c r="L161" s="20"/>
      <x:c r="M161" s="21"/>
      <x:c r="N161" s="20"/>
      <x:c r="O161" s="24" t="str">
        <x:f>IF(C161="","",MAX(0,TODAY()-C161))</x:f>
      </x:c>
      <x:c r="P161" s="22" t="str">
        <x:f>IF(OR(G161="",J161=""),"",G161*J161)</x:f>
      </x:c>
      <x:c r="Q161" s="20"/>
      <x:c r="R161" s="20"/>
      <x:c r="S161" s="20"/>
      <x:c r="T161" s="22" t="str">
        <x:f>IF(K161="","",IFERROR(VLOOKUP(K161,Listas!$G$2:$J$8,4,FALSE),0))</x:f>
      </x:c>
      <x:c r="U161" s="23" t="n">
        <x:f>IFERROR(H161/T161,0)</x:f>
        <x:v>0</x:v>
      </x:c>
      <x:c r="V161" s="20"/>
    </x:row>
    <x:row r="162">
      <x:c r="A162" s="20"/>
      <x:c r="B162" s="20"/>
      <x:c r="C162" s="21"/>
      <x:c r="D162" s="20"/>
      <x:c r="E162" s="20"/>
      <x:c r="F162" s="20"/>
      <x:c r="G162" s="22"/>
      <x:c r="H162" s="22"/>
      <x:c r="I162" s="22"/>
      <x:c r="J162" s="23"/>
      <x:c r="K162" s="20"/>
      <x:c r="L162" s="20"/>
      <x:c r="M162" s="21"/>
      <x:c r="N162" s="20"/>
      <x:c r="O162" s="24" t="str">
        <x:f>IF(C162="","",MAX(0,TODAY()-C162))</x:f>
      </x:c>
      <x:c r="P162" s="22" t="str">
        <x:f>IF(OR(G162="",J162=""),"",G162*J162)</x:f>
      </x:c>
      <x:c r="Q162" s="20"/>
      <x:c r="R162" s="20"/>
      <x:c r="S162" s="20"/>
      <x:c r="T162" s="22" t="str">
        <x:f>IF(K162="","",IFERROR(VLOOKUP(K162,Listas!$G$2:$J$8,4,FALSE),0))</x:f>
      </x:c>
      <x:c r="U162" s="23" t="n">
        <x:f>IFERROR(H162/T162,0)</x:f>
        <x:v>0</x:v>
      </x:c>
      <x:c r="V162" s="20"/>
    </x:row>
    <x:row r="163">
      <x:c r="A163" s="20"/>
      <x:c r="B163" s="20"/>
      <x:c r="C163" s="21"/>
      <x:c r="D163" s="20"/>
      <x:c r="E163" s="20"/>
      <x:c r="F163" s="20"/>
      <x:c r="G163" s="22"/>
      <x:c r="H163" s="22"/>
      <x:c r="I163" s="22"/>
      <x:c r="J163" s="23"/>
      <x:c r="K163" s="20"/>
      <x:c r="L163" s="20"/>
      <x:c r="M163" s="21"/>
      <x:c r="N163" s="20"/>
      <x:c r="O163" s="24" t="str">
        <x:f>IF(C163="","",MAX(0,TODAY()-C163))</x:f>
      </x:c>
      <x:c r="P163" s="22" t="str">
        <x:f>IF(OR(G163="",J163=""),"",G163*J163)</x:f>
      </x:c>
      <x:c r="Q163" s="20"/>
      <x:c r="R163" s="20"/>
      <x:c r="S163" s="20"/>
      <x:c r="T163" s="22" t="str">
        <x:f>IF(K163="","",IFERROR(VLOOKUP(K163,Listas!$G$2:$J$8,4,FALSE),0))</x:f>
      </x:c>
      <x:c r="U163" s="23" t="n">
        <x:f>IFERROR(H163/T163,0)</x:f>
        <x:v>0</x:v>
      </x:c>
      <x:c r="V163" s="20"/>
    </x:row>
    <x:row r="164">
      <x:c r="A164" s="20"/>
      <x:c r="B164" s="20"/>
      <x:c r="C164" s="21"/>
      <x:c r="D164" s="20"/>
      <x:c r="E164" s="20"/>
      <x:c r="F164" s="20"/>
      <x:c r="G164" s="22"/>
      <x:c r="H164" s="22"/>
      <x:c r="I164" s="22"/>
      <x:c r="J164" s="23"/>
      <x:c r="K164" s="20"/>
      <x:c r="L164" s="20"/>
      <x:c r="M164" s="21"/>
      <x:c r="N164" s="20"/>
      <x:c r="O164" s="24" t="str">
        <x:f>IF(C164="","",MAX(0,TODAY()-C164))</x:f>
      </x:c>
      <x:c r="P164" s="22" t="str">
        <x:f>IF(OR(G164="",J164=""),"",G164*J164)</x:f>
      </x:c>
      <x:c r="Q164" s="20"/>
      <x:c r="R164" s="20"/>
      <x:c r="S164" s="20"/>
      <x:c r="T164" s="22" t="str">
        <x:f>IF(K164="","",IFERROR(VLOOKUP(K164,Listas!$G$2:$J$8,4,FALSE),0))</x:f>
      </x:c>
      <x:c r="U164" s="23" t="n">
        <x:f>IFERROR(H164/T164,0)</x:f>
        <x:v>0</x:v>
      </x:c>
      <x:c r="V164" s="20"/>
    </x:row>
    <x:row r="165">
      <x:c r="A165" s="20"/>
      <x:c r="B165" s="20"/>
      <x:c r="C165" s="21"/>
      <x:c r="D165" s="20"/>
      <x:c r="E165" s="20"/>
      <x:c r="F165" s="20"/>
      <x:c r="G165" s="22"/>
      <x:c r="H165" s="22"/>
      <x:c r="I165" s="22"/>
      <x:c r="J165" s="23"/>
      <x:c r="K165" s="20"/>
      <x:c r="L165" s="20"/>
      <x:c r="M165" s="21"/>
      <x:c r="N165" s="20"/>
      <x:c r="O165" s="24" t="str">
        <x:f>IF(C165="","",MAX(0,TODAY()-C165))</x:f>
      </x:c>
      <x:c r="P165" s="22" t="str">
        <x:f>IF(OR(G165="",J165=""),"",G165*J165)</x:f>
      </x:c>
      <x:c r="Q165" s="20"/>
      <x:c r="R165" s="20"/>
      <x:c r="S165" s="20"/>
      <x:c r="T165" s="22" t="str">
        <x:f>IF(K165="","",IFERROR(VLOOKUP(K165,Listas!$G$2:$J$8,4,FALSE),0))</x:f>
      </x:c>
      <x:c r="U165" s="23" t="n">
        <x:f>IFERROR(H165/T165,0)</x:f>
        <x:v>0</x:v>
      </x:c>
      <x:c r="V165" s="20"/>
    </x:row>
    <x:row r="166">
      <x:c r="A166" s="20"/>
      <x:c r="B166" s="20"/>
      <x:c r="C166" s="21"/>
      <x:c r="D166" s="20"/>
      <x:c r="E166" s="20"/>
      <x:c r="F166" s="20"/>
      <x:c r="G166" s="22"/>
      <x:c r="H166" s="22"/>
      <x:c r="I166" s="22"/>
      <x:c r="J166" s="23"/>
      <x:c r="K166" s="20"/>
      <x:c r="L166" s="20"/>
      <x:c r="M166" s="21"/>
      <x:c r="N166" s="20"/>
      <x:c r="O166" s="24" t="str">
        <x:f>IF(C166="","",MAX(0,TODAY()-C166))</x:f>
      </x:c>
      <x:c r="P166" s="22" t="str">
        <x:f>IF(OR(G166="",J166=""),"",G166*J166)</x:f>
      </x:c>
      <x:c r="Q166" s="20"/>
      <x:c r="R166" s="20"/>
      <x:c r="S166" s="20"/>
      <x:c r="T166" s="22" t="str">
        <x:f>IF(K166="","",IFERROR(VLOOKUP(K166,Listas!$G$2:$J$8,4,FALSE),0))</x:f>
      </x:c>
      <x:c r="U166" s="23" t="n">
        <x:f>IFERROR(H166/T166,0)</x:f>
        <x:v>0</x:v>
      </x:c>
      <x:c r="V166" s="20"/>
    </x:row>
    <x:row r="167">
      <x:c r="A167" s="20"/>
      <x:c r="B167" s="20"/>
      <x:c r="C167" s="21"/>
      <x:c r="D167" s="20"/>
      <x:c r="E167" s="20"/>
      <x:c r="F167" s="20"/>
      <x:c r="G167" s="22"/>
      <x:c r="H167" s="22"/>
      <x:c r="I167" s="22"/>
      <x:c r="J167" s="23"/>
      <x:c r="K167" s="20"/>
      <x:c r="L167" s="20"/>
      <x:c r="M167" s="21"/>
      <x:c r="N167" s="20"/>
      <x:c r="O167" s="24" t="str">
        <x:f>IF(C167="","",MAX(0,TODAY()-C167))</x:f>
      </x:c>
      <x:c r="P167" s="22" t="str">
        <x:f>IF(OR(G167="",J167=""),"",G167*J167)</x:f>
      </x:c>
      <x:c r="Q167" s="20"/>
      <x:c r="R167" s="20"/>
      <x:c r="S167" s="20"/>
      <x:c r="T167" s="22" t="str">
        <x:f>IF(K167="","",IFERROR(VLOOKUP(K167,Listas!$G$2:$J$8,4,FALSE),0))</x:f>
      </x:c>
      <x:c r="U167" s="23" t="n">
        <x:f>IFERROR(H167/T167,0)</x:f>
        <x:v>0</x:v>
      </x:c>
      <x:c r="V167" s="20"/>
    </x:row>
    <x:row r="168">
      <x:c r="A168" s="20"/>
      <x:c r="B168" s="20"/>
      <x:c r="C168" s="21"/>
      <x:c r="D168" s="20"/>
      <x:c r="E168" s="20"/>
      <x:c r="F168" s="20"/>
      <x:c r="G168" s="22"/>
      <x:c r="H168" s="22"/>
      <x:c r="I168" s="22"/>
      <x:c r="J168" s="23"/>
      <x:c r="K168" s="20"/>
      <x:c r="L168" s="20"/>
      <x:c r="M168" s="21"/>
      <x:c r="N168" s="20"/>
      <x:c r="O168" s="24" t="str">
        <x:f>IF(C168="","",MAX(0,TODAY()-C168))</x:f>
      </x:c>
      <x:c r="P168" s="22" t="str">
        <x:f>IF(OR(G168="",J168=""),"",G168*J168)</x:f>
      </x:c>
      <x:c r="Q168" s="20"/>
      <x:c r="R168" s="20"/>
      <x:c r="S168" s="20"/>
      <x:c r="T168" s="22" t="str">
        <x:f>IF(K168="","",IFERROR(VLOOKUP(K168,Listas!$G$2:$J$8,4,FALSE),0))</x:f>
      </x:c>
      <x:c r="U168" s="23" t="n">
        <x:f>IFERROR(H168/T168,0)</x:f>
        <x:v>0</x:v>
      </x:c>
      <x:c r="V168" s="20"/>
    </x:row>
    <x:row r="169">
      <x:c r="A169" s="20"/>
      <x:c r="B169" s="20"/>
      <x:c r="C169" s="21"/>
      <x:c r="D169" s="20"/>
      <x:c r="E169" s="20"/>
      <x:c r="F169" s="20"/>
      <x:c r="G169" s="22"/>
      <x:c r="H169" s="22"/>
      <x:c r="I169" s="22"/>
      <x:c r="J169" s="23"/>
      <x:c r="K169" s="20"/>
      <x:c r="L169" s="20"/>
      <x:c r="M169" s="21"/>
      <x:c r="N169" s="20"/>
      <x:c r="O169" s="24" t="str">
        <x:f>IF(C169="","",MAX(0,TODAY()-C169))</x:f>
      </x:c>
      <x:c r="P169" s="22" t="str">
        <x:f>IF(OR(G169="",J169=""),"",G169*J169)</x:f>
      </x:c>
      <x:c r="Q169" s="20"/>
      <x:c r="R169" s="20"/>
      <x:c r="S169" s="20"/>
      <x:c r="T169" s="22" t="str">
        <x:f>IF(K169="","",IFERROR(VLOOKUP(K169,Listas!$G$2:$J$8,4,FALSE),0))</x:f>
      </x:c>
      <x:c r="U169" s="23" t="n">
        <x:f>IFERROR(H169/T169,0)</x:f>
        <x:v>0</x:v>
      </x:c>
      <x:c r="V169" s="20"/>
    </x:row>
    <x:row r="170">
      <x:c r="A170" s="20"/>
      <x:c r="B170" s="20"/>
      <x:c r="C170" s="21"/>
      <x:c r="D170" s="20"/>
      <x:c r="E170" s="20"/>
      <x:c r="F170" s="20"/>
      <x:c r="G170" s="22"/>
      <x:c r="H170" s="22"/>
      <x:c r="I170" s="22"/>
      <x:c r="J170" s="23"/>
      <x:c r="K170" s="20"/>
      <x:c r="L170" s="20"/>
      <x:c r="M170" s="21"/>
      <x:c r="N170" s="20"/>
      <x:c r="O170" s="24" t="str">
        <x:f>IF(C170="","",MAX(0,TODAY()-C170))</x:f>
      </x:c>
      <x:c r="P170" s="22" t="str">
        <x:f>IF(OR(G170="",J170=""),"",G170*J170)</x:f>
      </x:c>
      <x:c r="Q170" s="20"/>
      <x:c r="R170" s="20"/>
      <x:c r="S170" s="20"/>
      <x:c r="T170" s="22" t="str">
        <x:f>IF(K170="","",IFERROR(VLOOKUP(K170,Listas!$G$2:$J$8,4,FALSE),0))</x:f>
      </x:c>
      <x:c r="U170" s="23" t="n">
        <x:f>IFERROR(H170/T170,0)</x:f>
        <x:v>0</x:v>
      </x:c>
      <x:c r="V170" s="20"/>
    </x:row>
    <x:row r="171">
      <x:c r="A171" s="20"/>
      <x:c r="B171" s="20"/>
      <x:c r="C171" s="21"/>
      <x:c r="D171" s="20"/>
      <x:c r="E171" s="20"/>
      <x:c r="F171" s="20"/>
      <x:c r="G171" s="22"/>
      <x:c r="H171" s="22"/>
      <x:c r="I171" s="22"/>
      <x:c r="J171" s="23"/>
      <x:c r="K171" s="20"/>
      <x:c r="L171" s="20"/>
      <x:c r="M171" s="21"/>
      <x:c r="N171" s="20"/>
      <x:c r="O171" s="24" t="str">
        <x:f>IF(C171="","",MAX(0,TODAY()-C171))</x:f>
      </x:c>
      <x:c r="P171" s="22" t="str">
        <x:f>IF(OR(G171="",J171=""),"",G171*J171)</x:f>
      </x:c>
      <x:c r="Q171" s="20"/>
      <x:c r="R171" s="20"/>
      <x:c r="S171" s="20"/>
      <x:c r="T171" s="22" t="str">
        <x:f>IF(K171="","",IFERROR(VLOOKUP(K171,Listas!$G$2:$J$8,4,FALSE),0))</x:f>
      </x:c>
      <x:c r="U171" s="23" t="n">
        <x:f>IFERROR(H171/T171,0)</x:f>
        <x:v>0</x:v>
      </x:c>
      <x:c r="V171" s="20"/>
    </x:row>
    <x:row r="172">
      <x:c r="A172" s="20"/>
      <x:c r="B172" s="20"/>
      <x:c r="C172" s="21"/>
      <x:c r="D172" s="20"/>
      <x:c r="E172" s="20"/>
      <x:c r="F172" s="20"/>
      <x:c r="G172" s="22"/>
      <x:c r="H172" s="22"/>
      <x:c r="I172" s="22"/>
      <x:c r="J172" s="23"/>
      <x:c r="K172" s="20"/>
      <x:c r="L172" s="20"/>
      <x:c r="M172" s="21"/>
      <x:c r="N172" s="20"/>
      <x:c r="O172" s="24" t="str">
        <x:f>IF(C172="","",MAX(0,TODAY()-C172))</x:f>
      </x:c>
      <x:c r="P172" s="22" t="str">
        <x:f>IF(OR(G172="",J172=""),"",G172*J172)</x:f>
      </x:c>
      <x:c r="Q172" s="20"/>
      <x:c r="R172" s="20"/>
      <x:c r="S172" s="20"/>
      <x:c r="T172" s="22" t="str">
        <x:f>IF(K172="","",IFERROR(VLOOKUP(K172,Listas!$G$2:$J$8,4,FALSE),0))</x:f>
      </x:c>
      <x:c r="U172" s="23" t="n">
        <x:f>IFERROR(H172/T172,0)</x:f>
        <x:v>0</x:v>
      </x:c>
      <x:c r="V172" s="20"/>
    </x:row>
    <x:row r="173">
      <x:c r="A173" s="20"/>
      <x:c r="B173" s="20"/>
      <x:c r="C173" s="21"/>
      <x:c r="D173" s="20"/>
      <x:c r="E173" s="20"/>
      <x:c r="F173" s="20"/>
      <x:c r="G173" s="22"/>
      <x:c r="H173" s="22"/>
      <x:c r="I173" s="22"/>
      <x:c r="J173" s="23"/>
      <x:c r="K173" s="20"/>
      <x:c r="L173" s="20"/>
      <x:c r="M173" s="21"/>
      <x:c r="N173" s="20"/>
      <x:c r="O173" s="24" t="str">
        <x:f>IF(C173="","",MAX(0,TODAY()-C173))</x:f>
      </x:c>
      <x:c r="P173" s="22" t="str">
        <x:f>IF(OR(G173="",J173=""),"",G173*J173)</x:f>
      </x:c>
      <x:c r="Q173" s="20"/>
      <x:c r="R173" s="20"/>
      <x:c r="S173" s="20"/>
      <x:c r="T173" s="22" t="str">
        <x:f>IF(K173="","",IFERROR(VLOOKUP(K173,Listas!$G$2:$J$8,4,FALSE),0))</x:f>
      </x:c>
      <x:c r="U173" s="23" t="n">
        <x:f>IFERROR(H173/T173,0)</x:f>
        <x:v>0</x:v>
      </x:c>
      <x:c r="V173" s="20"/>
    </x:row>
    <x:row r="174">
      <x:c r="A174" s="20"/>
      <x:c r="B174" s="20"/>
      <x:c r="C174" s="21"/>
      <x:c r="D174" s="20"/>
      <x:c r="E174" s="20"/>
      <x:c r="F174" s="20"/>
      <x:c r="G174" s="22"/>
      <x:c r="H174" s="22"/>
      <x:c r="I174" s="22"/>
      <x:c r="J174" s="23"/>
      <x:c r="K174" s="20"/>
      <x:c r="L174" s="20"/>
      <x:c r="M174" s="21"/>
      <x:c r="N174" s="20"/>
      <x:c r="O174" s="24" t="str">
        <x:f>IF(C174="","",MAX(0,TODAY()-C174))</x:f>
      </x:c>
      <x:c r="P174" s="22" t="str">
        <x:f>IF(OR(G174="",J174=""),"",G174*J174)</x:f>
      </x:c>
      <x:c r="Q174" s="20"/>
      <x:c r="R174" s="20"/>
      <x:c r="S174" s="20"/>
      <x:c r="T174" s="22" t="str">
        <x:f>IF(K174="","",IFERROR(VLOOKUP(K174,Listas!$G$2:$J$8,4,FALSE),0))</x:f>
      </x:c>
      <x:c r="U174" s="23" t="n">
        <x:f>IFERROR(H174/T174,0)</x:f>
        <x:v>0</x:v>
      </x:c>
      <x:c r="V174" s="20"/>
    </x:row>
    <x:row r="175">
      <x:c r="A175" s="20"/>
      <x:c r="B175" s="20"/>
      <x:c r="C175" s="21"/>
      <x:c r="D175" s="20"/>
      <x:c r="E175" s="20"/>
      <x:c r="F175" s="20"/>
      <x:c r="G175" s="22"/>
      <x:c r="H175" s="22"/>
      <x:c r="I175" s="22"/>
      <x:c r="J175" s="23"/>
      <x:c r="K175" s="20"/>
      <x:c r="L175" s="20"/>
      <x:c r="M175" s="21"/>
      <x:c r="N175" s="20"/>
      <x:c r="O175" s="24" t="str">
        <x:f>IF(C175="","",MAX(0,TODAY()-C175))</x:f>
      </x:c>
      <x:c r="P175" s="22" t="str">
        <x:f>IF(OR(G175="",J175=""),"",G175*J175)</x:f>
      </x:c>
      <x:c r="Q175" s="20"/>
      <x:c r="R175" s="20"/>
      <x:c r="S175" s="20"/>
      <x:c r="T175" s="22" t="str">
        <x:f>IF(K175="","",IFERROR(VLOOKUP(K175,Listas!$G$2:$J$8,4,FALSE),0))</x:f>
      </x:c>
      <x:c r="U175" s="23" t="n">
        <x:f>IFERROR(H175/T175,0)</x:f>
        <x:v>0</x:v>
      </x:c>
      <x:c r="V175" s="20"/>
    </x:row>
    <x:row r="176">
      <x:c r="A176" s="20"/>
      <x:c r="B176" s="20"/>
      <x:c r="C176" s="21"/>
      <x:c r="D176" s="20"/>
      <x:c r="E176" s="20"/>
      <x:c r="F176" s="20"/>
      <x:c r="G176" s="22"/>
      <x:c r="H176" s="22"/>
      <x:c r="I176" s="22"/>
      <x:c r="J176" s="23"/>
      <x:c r="K176" s="20"/>
      <x:c r="L176" s="20"/>
      <x:c r="M176" s="21"/>
      <x:c r="N176" s="20"/>
      <x:c r="O176" s="24" t="str">
        <x:f>IF(C176="","",MAX(0,TODAY()-C176))</x:f>
      </x:c>
      <x:c r="P176" s="22" t="str">
        <x:f>IF(OR(G176="",J176=""),"",G176*J176)</x:f>
      </x:c>
      <x:c r="Q176" s="20"/>
      <x:c r="R176" s="20"/>
      <x:c r="S176" s="20"/>
      <x:c r="T176" s="22" t="str">
        <x:f>IF(K176="","",IFERROR(VLOOKUP(K176,Listas!$G$2:$J$8,4,FALSE),0))</x:f>
      </x:c>
      <x:c r="U176" s="23" t="n">
        <x:f>IFERROR(H176/T176,0)</x:f>
        <x:v>0</x:v>
      </x:c>
      <x:c r="V176" s="20"/>
    </x:row>
    <x:row r="177">
      <x:c r="A177" s="20"/>
      <x:c r="B177" s="20"/>
      <x:c r="C177" s="21"/>
      <x:c r="D177" s="20"/>
      <x:c r="E177" s="20"/>
      <x:c r="F177" s="20"/>
      <x:c r="G177" s="22"/>
      <x:c r="H177" s="22"/>
      <x:c r="I177" s="22"/>
      <x:c r="J177" s="23"/>
      <x:c r="K177" s="20"/>
      <x:c r="L177" s="20"/>
      <x:c r="M177" s="21"/>
      <x:c r="N177" s="20"/>
      <x:c r="O177" s="24" t="str">
        <x:f>IF(C177="","",MAX(0,TODAY()-C177))</x:f>
      </x:c>
      <x:c r="P177" s="22" t="str">
        <x:f>IF(OR(G177="",J177=""),"",G177*J177)</x:f>
      </x:c>
      <x:c r="Q177" s="20"/>
      <x:c r="R177" s="20"/>
      <x:c r="S177" s="20"/>
      <x:c r="T177" s="22" t="str">
        <x:f>IF(K177="","",IFERROR(VLOOKUP(K177,Listas!$G$2:$J$8,4,FALSE),0))</x:f>
      </x:c>
      <x:c r="U177" s="23" t="n">
        <x:f>IFERROR(H177/T177,0)</x:f>
        <x:v>0</x:v>
      </x:c>
      <x:c r="V177" s="20"/>
    </x:row>
    <x:row r="178">
      <x:c r="A178" s="20"/>
      <x:c r="B178" s="20"/>
      <x:c r="C178" s="21"/>
      <x:c r="D178" s="20"/>
      <x:c r="E178" s="20"/>
      <x:c r="F178" s="20"/>
      <x:c r="G178" s="22"/>
      <x:c r="H178" s="22"/>
      <x:c r="I178" s="22"/>
      <x:c r="J178" s="23"/>
      <x:c r="K178" s="20"/>
      <x:c r="L178" s="20"/>
      <x:c r="M178" s="21"/>
      <x:c r="N178" s="20"/>
      <x:c r="O178" s="24" t="str">
        <x:f>IF(C178="","",MAX(0,TODAY()-C178))</x:f>
      </x:c>
      <x:c r="P178" s="22" t="str">
        <x:f>IF(OR(G178="",J178=""),"",G178*J178)</x:f>
      </x:c>
      <x:c r="Q178" s="20"/>
      <x:c r="R178" s="20"/>
      <x:c r="S178" s="20"/>
      <x:c r="T178" s="22" t="str">
        <x:f>IF(K178="","",IFERROR(VLOOKUP(K178,Listas!$G$2:$J$8,4,FALSE),0))</x:f>
      </x:c>
      <x:c r="U178" s="23" t="n">
        <x:f>IFERROR(H178/T178,0)</x:f>
        <x:v>0</x:v>
      </x:c>
      <x:c r="V178" s="20"/>
    </x:row>
    <x:row r="179">
      <x:c r="A179" s="20"/>
      <x:c r="B179" s="20"/>
      <x:c r="C179" s="21"/>
      <x:c r="D179" s="20"/>
      <x:c r="E179" s="20"/>
      <x:c r="F179" s="20"/>
      <x:c r="G179" s="22"/>
      <x:c r="H179" s="22"/>
      <x:c r="I179" s="22"/>
      <x:c r="J179" s="23"/>
      <x:c r="K179" s="20"/>
      <x:c r="L179" s="20"/>
      <x:c r="M179" s="21"/>
      <x:c r="N179" s="20"/>
      <x:c r="O179" s="24" t="str">
        <x:f>IF(C179="","",MAX(0,TODAY()-C179))</x:f>
      </x:c>
      <x:c r="P179" s="22" t="str">
        <x:f>IF(OR(G179="",J179=""),"",G179*J179)</x:f>
      </x:c>
      <x:c r="Q179" s="20"/>
      <x:c r="R179" s="20"/>
      <x:c r="S179" s="20"/>
      <x:c r="T179" s="22" t="str">
        <x:f>IF(K179="","",IFERROR(VLOOKUP(K179,Listas!$G$2:$J$8,4,FALSE),0))</x:f>
      </x:c>
      <x:c r="U179" s="23" t="n">
        <x:f>IFERROR(H179/T179,0)</x:f>
        <x:v>0</x:v>
      </x:c>
      <x:c r="V179" s="20"/>
    </x:row>
    <x:row r="180">
      <x:c r="A180" s="20"/>
      <x:c r="B180" s="20"/>
      <x:c r="C180" s="21"/>
      <x:c r="D180" s="20"/>
      <x:c r="E180" s="20"/>
      <x:c r="F180" s="20"/>
      <x:c r="G180" s="22"/>
      <x:c r="H180" s="22"/>
      <x:c r="I180" s="22"/>
      <x:c r="J180" s="23"/>
      <x:c r="K180" s="20"/>
      <x:c r="L180" s="20"/>
      <x:c r="M180" s="21"/>
      <x:c r="N180" s="20"/>
      <x:c r="O180" s="24" t="str">
        <x:f>IF(C180="","",MAX(0,TODAY()-C180))</x:f>
      </x:c>
      <x:c r="P180" s="22" t="str">
        <x:f>IF(OR(G180="",J180=""),"",G180*J180)</x:f>
      </x:c>
      <x:c r="Q180" s="20"/>
      <x:c r="R180" s="20"/>
      <x:c r="S180" s="20"/>
      <x:c r="T180" s="22" t="str">
        <x:f>IF(K180="","",IFERROR(VLOOKUP(K180,Listas!$G$2:$J$8,4,FALSE),0))</x:f>
      </x:c>
      <x:c r="U180" s="23" t="n">
        <x:f>IFERROR(H180/T180,0)</x:f>
        <x:v>0</x:v>
      </x:c>
      <x:c r="V180" s="20"/>
    </x:row>
    <x:row r="181">
      <x:c r="A181" s="20"/>
      <x:c r="B181" s="20"/>
      <x:c r="C181" s="21"/>
      <x:c r="D181" s="20"/>
      <x:c r="E181" s="20"/>
      <x:c r="F181" s="20"/>
      <x:c r="G181" s="22"/>
      <x:c r="H181" s="22"/>
      <x:c r="I181" s="22"/>
      <x:c r="J181" s="23"/>
      <x:c r="K181" s="20"/>
      <x:c r="L181" s="20"/>
      <x:c r="M181" s="21"/>
      <x:c r="N181" s="20"/>
      <x:c r="O181" s="24" t="str">
        <x:f>IF(C181="","",MAX(0,TODAY()-C181))</x:f>
      </x:c>
      <x:c r="P181" s="22" t="str">
        <x:f>IF(OR(G181="",J181=""),"",G181*J181)</x:f>
      </x:c>
      <x:c r="Q181" s="20"/>
      <x:c r="R181" s="20"/>
      <x:c r="S181" s="20"/>
      <x:c r="T181" s="22" t="str">
        <x:f>IF(K181="","",IFERROR(VLOOKUP(K181,Listas!$G$2:$J$8,4,FALSE),0))</x:f>
      </x:c>
      <x:c r="U181" s="23" t="n">
        <x:f>IFERROR(H181/T181,0)</x:f>
        <x:v>0</x:v>
      </x:c>
      <x:c r="V181" s="20"/>
    </x:row>
    <x:row r="182">
      <x:c r="A182" s="20"/>
      <x:c r="B182" s="20"/>
      <x:c r="C182" s="21"/>
      <x:c r="D182" s="20"/>
      <x:c r="E182" s="20"/>
      <x:c r="F182" s="20"/>
      <x:c r="G182" s="22"/>
      <x:c r="H182" s="22"/>
      <x:c r="I182" s="22"/>
      <x:c r="J182" s="23"/>
      <x:c r="K182" s="20"/>
      <x:c r="L182" s="20"/>
      <x:c r="M182" s="21"/>
      <x:c r="N182" s="20"/>
      <x:c r="O182" s="24" t="str">
        <x:f>IF(C182="","",MAX(0,TODAY()-C182))</x:f>
      </x:c>
      <x:c r="P182" s="22" t="str">
        <x:f>IF(OR(G182="",J182=""),"",G182*J182)</x:f>
      </x:c>
      <x:c r="Q182" s="20"/>
      <x:c r="R182" s="20"/>
      <x:c r="S182" s="20"/>
      <x:c r="T182" s="22" t="str">
        <x:f>IF(K182="","",IFERROR(VLOOKUP(K182,Listas!$G$2:$J$8,4,FALSE),0))</x:f>
      </x:c>
      <x:c r="U182" s="23" t="n">
        <x:f>IFERROR(H182/T182,0)</x:f>
        <x:v>0</x:v>
      </x:c>
      <x:c r="V182" s="20"/>
    </x:row>
    <x:row r="183">
      <x:c r="A183" s="20"/>
      <x:c r="B183" s="20"/>
      <x:c r="C183" s="21"/>
      <x:c r="D183" s="20"/>
      <x:c r="E183" s="20"/>
      <x:c r="F183" s="20"/>
      <x:c r="G183" s="22"/>
      <x:c r="H183" s="22"/>
      <x:c r="I183" s="22"/>
      <x:c r="J183" s="23"/>
      <x:c r="K183" s="20"/>
      <x:c r="L183" s="20"/>
      <x:c r="M183" s="21"/>
      <x:c r="N183" s="20"/>
      <x:c r="O183" s="24" t="str">
        <x:f>IF(C183="","",MAX(0,TODAY()-C183))</x:f>
      </x:c>
      <x:c r="P183" s="22" t="str">
        <x:f>IF(OR(G183="",J183=""),"",G183*J183)</x:f>
      </x:c>
      <x:c r="Q183" s="20"/>
      <x:c r="R183" s="20"/>
      <x:c r="S183" s="20"/>
      <x:c r="T183" s="22" t="str">
        <x:f>IF(K183="","",IFERROR(VLOOKUP(K183,Listas!$G$2:$J$8,4,FALSE),0))</x:f>
      </x:c>
      <x:c r="U183" s="23" t="n">
        <x:f>IFERROR(H183/T183,0)</x:f>
        <x:v>0</x:v>
      </x:c>
      <x:c r="V183" s="20"/>
    </x:row>
    <x:row r="184">
      <x:c r="A184" s="20"/>
      <x:c r="B184" s="20"/>
      <x:c r="C184" s="21"/>
      <x:c r="D184" s="20"/>
      <x:c r="E184" s="20"/>
      <x:c r="F184" s="20"/>
      <x:c r="G184" s="22"/>
      <x:c r="H184" s="22"/>
      <x:c r="I184" s="22"/>
      <x:c r="J184" s="23"/>
      <x:c r="K184" s="20"/>
      <x:c r="L184" s="20"/>
      <x:c r="M184" s="21"/>
      <x:c r="N184" s="20"/>
      <x:c r="O184" s="24" t="str">
        <x:f>IF(C184="","",MAX(0,TODAY()-C184))</x:f>
      </x:c>
      <x:c r="P184" s="22" t="str">
        <x:f>IF(OR(G184="",J184=""),"",G184*J184)</x:f>
      </x:c>
      <x:c r="Q184" s="20"/>
      <x:c r="R184" s="20"/>
      <x:c r="S184" s="20"/>
      <x:c r="T184" s="22" t="str">
        <x:f>IF(K184="","",IFERROR(VLOOKUP(K184,Listas!$G$2:$J$8,4,FALSE),0))</x:f>
      </x:c>
      <x:c r="U184" s="23" t="n">
        <x:f>IFERROR(H184/T184,0)</x:f>
        <x:v>0</x:v>
      </x:c>
      <x:c r="V184" s="20"/>
    </x:row>
    <x:row r="185">
      <x:c r="A185" s="20"/>
      <x:c r="B185" s="20"/>
      <x:c r="C185" s="21"/>
      <x:c r="D185" s="20"/>
      <x:c r="E185" s="20"/>
      <x:c r="F185" s="20"/>
      <x:c r="G185" s="22"/>
      <x:c r="H185" s="22"/>
      <x:c r="I185" s="22"/>
      <x:c r="J185" s="23"/>
      <x:c r="K185" s="20"/>
      <x:c r="L185" s="20"/>
      <x:c r="M185" s="21"/>
      <x:c r="N185" s="20"/>
      <x:c r="O185" s="24" t="str">
        <x:f>IF(C185="","",MAX(0,TODAY()-C185))</x:f>
      </x:c>
      <x:c r="P185" s="22" t="str">
        <x:f>IF(OR(G185="",J185=""),"",G185*J185)</x:f>
      </x:c>
      <x:c r="Q185" s="20"/>
      <x:c r="R185" s="20"/>
      <x:c r="S185" s="20"/>
      <x:c r="T185" s="22" t="str">
        <x:f>IF(K185="","",IFERROR(VLOOKUP(K185,Listas!$G$2:$J$8,4,FALSE),0))</x:f>
      </x:c>
      <x:c r="U185" s="23" t="n">
        <x:f>IFERROR(H185/T185,0)</x:f>
        <x:v>0</x:v>
      </x:c>
      <x:c r="V185" s="20"/>
    </x:row>
    <x:row r="186">
      <x:c r="A186" s="20"/>
      <x:c r="B186" s="20"/>
      <x:c r="C186" s="21"/>
      <x:c r="D186" s="20"/>
      <x:c r="E186" s="20"/>
      <x:c r="F186" s="20"/>
      <x:c r="G186" s="22"/>
      <x:c r="H186" s="22"/>
      <x:c r="I186" s="22"/>
      <x:c r="J186" s="23"/>
      <x:c r="K186" s="20"/>
      <x:c r="L186" s="20"/>
      <x:c r="M186" s="21"/>
      <x:c r="N186" s="20"/>
      <x:c r="O186" s="24" t="str">
        <x:f>IF(C186="","",MAX(0,TODAY()-C186))</x:f>
      </x:c>
      <x:c r="P186" s="22" t="str">
        <x:f>IF(OR(G186="",J186=""),"",G186*J186)</x:f>
      </x:c>
      <x:c r="Q186" s="20"/>
      <x:c r="R186" s="20"/>
      <x:c r="S186" s="20"/>
      <x:c r="T186" s="22" t="str">
        <x:f>IF(K186="","",IFERROR(VLOOKUP(K186,Listas!$G$2:$J$8,4,FALSE),0))</x:f>
      </x:c>
      <x:c r="U186" s="23" t="n">
        <x:f>IFERROR(H186/T186,0)</x:f>
        <x:v>0</x:v>
      </x:c>
      <x:c r="V186" s="20"/>
    </x:row>
    <x:row r="187">
      <x:c r="A187" s="20"/>
      <x:c r="B187" s="20"/>
      <x:c r="C187" s="21"/>
      <x:c r="D187" s="20"/>
      <x:c r="E187" s="20"/>
      <x:c r="F187" s="20"/>
      <x:c r="G187" s="22"/>
      <x:c r="H187" s="22"/>
      <x:c r="I187" s="22"/>
      <x:c r="J187" s="23"/>
      <x:c r="K187" s="20"/>
      <x:c r="L187" s="20"/>
      <x:c r="M187" s="21"/>
      <x:c r="N187" s="20"/>
      <x:c r="O187" s="24" t="str">
        <x:f>IF(C187="","",MAX(0,TODAY()-C187))</x:f>
      </x:c>
      <x:c r="P187" s="22" t="str">
        <x:f>IF(OR(G187="",J187=""),"",G187*J187)</x:f>
      </x:c>
      <x:c r="Q187" s="20"/>
      <x:c r="R187" s="20"/>
      <x:c r="S187" s="20"/>
      <x:c r="T187" s="22" t="str">
        <x:f>IF(K187="","",IFERROR(VLOOKUP(K187,Listas!$G$2:$J$8,4,FALSE),0))</x:f>
      </x:c>
      <x:c r="U187" s="23" t="n">
        <x:f>IFERROR(H187/T187,0)</x:f>
        <x:v>0</x:v>
      </x:c>
      <x:c r="V187" s="20"/>
    </x:row>
    <x:row r="188">
      <x:c r="A188" s="20"/>
      <x:c r="B188" s="20"/>
      <x:c r="C188" s="21"/>
      <x:c r="D188" s="20"/>
      <x:c r="E188" s="20"/>
      <x:c r="F188" s="20"/>
      <x:c r="G188" s="22"/>
      <x:c r="H188" s="22"/>
      <x:c r="I188" s="22"/>
      <x:c r="J188" s="23"/>
      <x:c r="K188" s="20"/>
      <x:c r="L188" s="20"/>
      <x:c r="M188" s="21"/>
      <x:c r="N188" s="20"/>
      <x:c r="O188" s="24" t="str">
        <x:f>IF(C188="","",MAX(0,TODAY()-C188))</x:f>
      </x:c>
      <x:c r="P188" s="22" t="str">
        <x:f>IF(OR(G188="",J188=""),"",G188*J188)</x:f>
      </x:c>
      <x:c r="Q188" s="20"/>
      <x:c r="R188" s="20"/>
      <x:c r="S188" s="20"/>
      <x:c r="T188" s="22" t="str">
        <x:f>IF(K188="","",IFERROR(VLOOKUP(K188,Listas!$G$2:$J$8,4,FALSE),0))</x:f>
      </x:c>
      <x:c r="U188" s="23" t="n">
        <x:f>IFERROR(H188/T188,0)</x:f>
        <x:v>0</x:v>
      </x:c>
      <x:c r="V188" s="20"/>
    </x:row>
    <x:row r="189">
      <x:c r="A189" s="20"/>
      <x:c r="B189" s="20"/>
      <x:c r="C189" s="21"/>
      <x:c r="D189" s="20"/>
      <x:c r="E189" s="20"/>
      <x:c r="F189" s="20"/>
      <x:c r="G189" s="22"/>
      <x:c r="H189" s="22"/>
      <x:c r="I189" s="22"/>
      <x:c r="J189" s="23"/>
      <x:c r="K189" s="20"/>
      <x:c r="L189" s="20"/>
      <x:c r="M189" s="21"/>
      <x:c r="N189" s="20"/>
      <x:c r="O189" s="24" t="str">
        <x:f>IF(C189="","",MAX(0,TODAY()-C189))</x:f>
      </x:c>
      <x:c r="P189" s="22" t="str">
        <x:f>IF(OR(G189="",J189=""),"",G189*J189)</x:f>
      </x:c>
      <x:c r="Q189" s="20"/>
      <x:c r="R189" s="20"/>
      <x:c r="S189" s="20"/>
      <x:c r="T189" s="22" t="str">
        <x:f>IF(K189="","",IFERROR(VLOOKUP(K189,Listas!$G$2:$J$8,4,FALSE),0))</x:f>
      </x:c>
      <x:c r="U189" s="23" t="n">
        <x:f>IFERROR(H189/T189,0)</x:f>
        <x:v>0</x:v>
      </x:c>
      <x:c r="V189" s="20"/>
    </x:row>
    <x:row r="190">
      <x:c r="A190" s="20"/>
      <x:c r="B190" s="20"/>
      <x:c r="C190" s="21"/>
      <x:c r="D190" s="20"/>
      <x:c r="E190" s="20"/>
      <x:c r="F190" s="20"/>
      <x:c r="G190" s="22"/>
      <x:c r="H190" s="22"/>
      <x:c r="I190" s="22"/>
      <x:c r="J190" s="23"/>
      <x:c r="K190" s="20"/>
      <x:c r="L190" s="20"/>
      <x:c r="M190" s="21"/>
      <x:c r="N190" s="20"/>
      <x:c r="O190" s="24" t="str">
        <x:f>IF(C190="","",MAX(0,TODAY()-C190))</x:f>
      </x:c>
      <x:c r="P190" s="22" t="str">
        <x:f>IF(OR(G190="",J190=""),"",G190*J190)</x:f>
      </x:c>
      <x:c r="Q190" s="20"/>
      <x:c r="R190" s="20"/>
      <x:c r="S190" s="20"/>
      <x:c r="T190" s="22" t="str">
        <x:f>IF(K190="","",IFERROR(VLOOKUP(K190,Listas!$G$2:$J$8,4,FALSE),0))</x:f>
      </x:c>
      <x:c r="U190" s="23" t="n">
        <x:f>IFERROR(H190/T190,0)</x:f>
        <x:v>0</x:v>
      </x:c>
      <x:c r="V190" s="20"/>
    </x:row>
    <x:row r="191">
      <x:c r="A191" s="20"/>
      <x:c r="B191" s="20"/>
      <x:c r="C191" s="21"/>
      <x:c r="D191" s="20"/>
      <x:c r="E191" s="20"/>
      <x:c r="F191" s="20"/>
      <x:c r="G191" s="22"/>
      <x:c r="H191" s="22"/>
      <x:c r="I191" s="22"/>
      <x:c r="J191" s="23"/>
      <x:c r="K191" s="20"/>
      <x:c r="L191" s="20"/>
      <x:c r="M191" s="21"/>
      <x:c r="N191" s="20"/>
      <x:c r="O191" s="24" t="str">
        <x:f>IF(C191="","",MAX(0,TODAY()-C191))</x:f>
      </x:c>
      <x:c r="P191" s="22" t="str">
        <x:f>IF(OR(G191="",J191=""),"",G191*J191)</x:f>
      </x:c>
      <x:c r="Q191" s="20"/>
      <x:c r="R191" s="20"/>
      <x:c r="S191" s="20"/>
      <x:c r="T191" s="22" t="str">
        <x:f>IF(K191="","",IFERROR(VLOOKUP(K191,Listas!$G$2:$J$8,4,FALSE),0))</x:f>
      </x:c>
      <x:c r="U191" s="23" t="n">
        <x:f>IFERROR(H191/T191,0)</x:f>
        <x:v>0</x:v>
      </x:c>
      <x:c r="V191" s="20"/>
    </x:row>
    <x:row r="192">
      <x:c r="A192" s="20"/>
      <x:c r="B192" s="20"/>
      <x:c r="C192" s="21"/>
      <x:c r="D192" s="20"/>
      <x:c r="E192" s="20"/>
      <x:c r="F192" s="20"/>
      <x:c r="G192" s="22"/>
      <x:c r="H192" s="22"/>
      <x:c r="I192" s="22"/>
      <x:c r="J192" s="23"/>
      <x:c r="K192" s="20"/>
      <x:c r="L192" s="20"/>
      <x:c r="M192" s="21"/>
      <x:c r="N192" s="20"/>
      <x:c r="O192" s="24" t="str">
        <x:f>IF(C192="","",MAX(0,TODAY()-C192))</x:f>
      </x:c>
      <x:c r="P192" s="22" t="str">
        <x:f>IF(OR(G192="",J192=""),"",G192*J192)</x:f>
      </x:c>
      <x:c r="Q192" s="20"/>
      <x:c r="R192" s="20"/>
      <x:c r="S192" s="20"/>
      <x:c r="T192" s="22" t="str">
        <x:f>IF(K192="","",IFERROR(VLOOKUP(K192,Listas!$G$2:$J$8,4,FALSE),0))</x:f>
      </x:c>
      <x:c r="U192" s="23" t="n">
        <x:f>IFERROR(H192/T192,0)</x:f>
        <x:v>0</x:v>
      </x:c>
      <x:c r="V192" s="20"/>
    </x:row>
    <x:row r="193">
      <x:c r="A193" s="20"/>
      <x:c r="B193" s="20"/>
      <x:c r="C193" s="21"/>
      <x:c r="D193" s="20"/>
      <x:c r="E193" s="20"/>
      <x:c r="F193" s="20"/>
      <x:c r="G193" s="22"/>
      <x:c r="H193" s="22"/>
      <x:c r="I193" s="22"/>
      <x:c r="J193" s="23"/>
      <x:c r="K193" s="20"/>
      <x:c r="L193" s="20"/>
      <x:c r="M193" s="21"/>
      <x:c r="N193" s="20"/>
      <x:c r="O193" s="24" t="str">
        <x:f>IF(C193="","",MAX(0,TODAY()-C193))</x:f>
      </x:c>
      <x:c r="P193" s="22" t="str">
        <x:f>IF(OR(G193="",J193=""),"",G193*J193)</x:f>
      </x:c>
      <x:c r="Q193" s="20"/>
      <x:c r="R193" s="20"/>
      <x:c r="S193" s="20"/>
      <x:c r="T193" s="22" t="str">
        <x:f>IF(K193="","",IFERROR(VLOOKUP(K193,Listas!$G$2:$J$8,4,FALSE),0))</x:f>
      </x:c>
      <x:c r="U193" s="23" t="n">
        <x:f>IFERROR(H193/T193,0)</x:f>
        <x:v>0</x:v>
      </x:c>
      <x:c r="V193" s="20"/>
    </x:row>
    <x:row r="194">
      <x:c r="A194" s="20"/>
      <x:c r="B194" s="20"/>
      <x:c r="C194" s="21"/>
      <x:c r="D194" s="20"/>
      <x:c r="E194" s="20"/>
      <x:c r="F194" s="20"/>
      <x:c r="G194" s="22"/>
      <x:c r="H194" s="22"/>
      <x:c r="I194" s="22"/>
      <x:c r="J194" s="23"/>
      <x:c r="K194" s="20"/>
      <x:c r="L194" s="20"/>
      <x:c r="M194" s="21"/>
      <x:c r="N194" s="20"/>
      <x:c r="O194" s="24" t="str">
        <x:f>IF(C194="","",MAX(0,TODAY()-C194))</x:f>
      </x:c>
      <x:c r="P194" s="22" t="str">
        <x:f>IF(OR(G194="",J194=""),"",G194*J194)</x:f>
      </x:c>
      <x:c r="Q194" s="20"/>
      <x:c r="R194" s="20"/>
      <x:c r="S194" s="20"/>
      <x:c r="T194" s="22" t="str">
        <x:f>IF(K194="","",IFERROR(VLOOKUP(K194,Listas!$G$2:$J$8,4,FALSE),0))</x:f>
      </x:c>
      <x:c r="U194" s="23" t="n">
        <x:f>IFERROR(H194/T194,0)</x:f>
        <x:v>0</x:v>
      </x:c>
      <x:c r="V194" s="20"/>
    </x:row>
    <x:row r="195">
      <x:c r="A195" s="20"/>
      <x:c r="B195" s="20"/>
      <x:c r="C195" s="21"/>
      <x:c r="D195" s="20"/>
      <x:c r="E195" s="20"/>
      <x:c r="F195" s="20"/>
      <x:c r="G195" s="22"/>
      <x:c r="H195" s="22"/>
      <x:c r="I195" s="22"/>
      <x:c r="J195" s="23"/>
      <x:c r="K195" s="20"/>
      <x:c r="L195" s="20"/>
      <x:c r="M195" s="21"/>
      <x:c r="N195" s="20"/>
      <x:c r="O195" s="24" t="str">
        <x:f>IF(C195="","",MAX(0,TODAY()-C195))</x:f>
      </x:c>
      <x:c r="P195" s="22" t="str">
        <x:f>IF(OR(G195="",J195=""),"",G195*J195)</x:f>
      </x:c>
      <x:c r="Q195" s="20"/>
      <x:c r="R195" s="20"/>
      <x:c r="S195" s="20"/>
      <x:c r="T195" s="22" t="str">
        <x:f>IF(K195="","",IFERROR(VLOOKUP(K195,Listas!$G$2:$J$8,4,FALSE),0))</x:f>
      </x:c>
      <x:c r="U195" s="23" t="n">
        <x:f>IFERROR(H195/T195,0)</x:f>
        <x:v>0</x:v>
      </x:c>
      <x:c r="V195" s="20"/>
    </x:row>
    <x:row r="196">
      <x:c r="A196" s="20"/>
      <x:c r="B196" s="20"/>
      <x:c r="C196" s="21"/>
      <x:c r="D196" s="20"/>
      <x:c r="E196" s="20"/>
      <x:c r="F196" s="20"/>
      <x:c r="G196" s="22"/>
      <x:c r="H196" s="22"/>
      <x:c r="I196" s="22"/>
      <x:c r="J196" s="23"/>
      <x:c r="K196" s="20"/>
      <x:c r="L196" s="20"/>
      <x:c r="M196" s="21"/>
      <x:c r="N196" s="20"/>
      <x:c r="O196" s="24" t="str">
        <x:f>IF(C196="","",MAX(0,TODAY()-C196))</x:f>
      </x:c>
      <x:c r="P196" s="22" t="str">
        <x:f>IF(OR(G196="",J196=""),"",G196*J196)</x:f>
      </x:c>
      <x:c r="Q196" s="20"/>
      <x:c r="R196" s="20"/>
      <x:c r="S196" s="20"/>
      <x:c r="T196" s="22" t="str">
        <x:f>IF(K196="","",IFERROR(VLOOKUP(K196,Listas!$G$2:$J$8,4,FALSE),0))</x:f>
      </x:c>
      <x:c r="U196" s="23" t="n">
        <x:f>IFERROR(H196/T196,0)</x:f>
        <x:v>0</x:v>
      </x:c>
      <x:c r="V196" s="20"/>
    </x:row>
    <x:row r="197">
      <x:c r="A197" s="20"/>
      <x:c r="B197" s="20"/>
      <x:c r="C197" s="21"/>
      <x:c r="D197" s="20"/>
      <x:c r="E197" s="20"/>
      <x:c r="F197" s="20"/>
      <x:c r="G197" s="22"/>
      <x:c r="H197" s="22"/>
      <x:c r="I197" s="22"/>
      <x:c r="J197" s="23"/>
      <x:c r="K197" s="20"/>
      <x:c r="L197" s="20"/>
      <x:c r="M197" s="21"/>
      <x:c r="N197" s="20"/>
      <x:c r="O197" s="24" t="str">
        <x:f>IF(C197="","",MAX(0,TODAY()-C197))</x:f>
      </x:c>
      <x:c r="P197" s="22" t="str">
        <x:f>IF(OR(G197="",J197=""),"",G197*J197)</x:f>
      </x:c>
      <x:c r="Q197" s="20"/>
      <x:c r="R197" s="20"/>
      <x:c r="S197" s="20"/>
      <x:c r="T197" s="22" t="str">
        <x:f>IF(K197="","",IFERROR(VLOOKUP(K197,Listas!$G$2:$J$8,4,FALSE),0))</x:f>
      </x:c>
      <x:c r="U197" s="23" t="n">
        <x:f>IFERROR(H197/T197,0)</x:f>
        <x:v>0</x:v>
      </x:c>
      <x:c r="V197" s="20"/>
    </x:row>
    <x:row r="198">
      <x:c r="A198" s="20"/>
      <x:c r="B198" s="20"/>
      <x:c r="C198" s="21"/>
      <x:c r="D198" s="20"/>
      <x:c r="E198" s="20"/>
      <x:c r="F198" s="20"/>
      <x:c r="G198" s="22"/>
      <x:c r="H198" s="22"/>
      <x:c r="I198" s="22"/>
      <x:c r="J198" s="23"/>
      <x:c r="K198" s="20"/>
      <x:c r="L198" s="20"/>
      <x:c r="M198" s="21"/>
      <x:c r="N198" s="20"/>
      <x:c r="O198" s="24" t="str">
        <x:f>IF(C198="","",MAX(0,TODAY()-C198))</x:f>
      </x:c>
      <x:c r="P198" s="22" t="str">
        <x:f>IF(OR(G198="",J198=""),"",G198*J198)</x:f>
      </x:c>
      <x:c r="Q198" s="20"/>
      <x:c r="R198" s="20"/>
      <x:c r="S198" s="20"/>
      <x:c r="T198" s="22" t="str">
        <x:f>IF(K198="","",IFERROR(VLOOKUP(K198,Listas!$G$2:$J$8,4,FALSE),0))</x:f>
      </x:c>
      <x:c r="U198" s="23" t="n">
        <x:f>IFERROR(H198/T198,0)</x:f>
        <x:v>0</x:v>
      </x:c>
      <x:c r="V198" s="20"/>
    </x:row>
    <x:row r="199">
      <x:c r="A199" s="20"/>
      <x:c r="B199" s="20"/>
      <x:c r="C199" s="21"/>
      <x:c r="D199" s="20"/>
      <x:c r="E199" s="20"/>
      <x:c r="F199" s="20"/>
      <x:c r="G199" s="22"/>
      <x:c r="H199" s="22"/>
      <x:c r="I199" s="22"/>
      <x:c r="J199" s="23"/>
      <x:c r="K199" s="20"/>
      <x:c r="L199" s="20"/>
      <x:c r="M199" s="21"/>
      <x:c r="N199" s="20"/>
      <x:c r="O199" s="24" t="str">
        <x:f>IF(C199="","",MAX(0,TODAY()-C199))</x:f>
      </x:c>
      <x:c r="P199" s="22" t="str">
        <x:f>IF(OR(G199="",J199=""),"",G199*J199)</x:f>
      </x:c>
      <x:c r="Q199" s="20"/>
      <x:c r="R199" s="20"/>
      <x:c r="S199" s="20"/>
      <x:c r="T199" s="22" t="str">
        <x:f>IF(K199="","",IFERROR(VLOOKUP(K199,Listas!$G$2:$J$8,4,FALSE),0))</x:f>
      </x:c>
      <x:c r="U199" s="23" t="n">
        <x:f>IFERROR(H199/T199,0)</x:f>
        <x:v>0</x:v>
      </x:c>
      <x:c r="V199" s="20"/>
    </x:row>
    <x:row r="200">
      <x:c r="A200" s="20"/>
      <x:c r="B200" s="20"/>
      <x:c r="C200" s="21"/>
      <x:c r="D200" s="20"/>
      <x:c r="E200" s="20"/>
      <x:c r="F200" s="20"/>
      <x:c r="G200" s="22"/>
      <x:c r="H200" s="22"/>
      <x:c r="I200" s="22"/>
      <x:c r="J200" s="23"/>
      <x:c r="K200" s="20"/>
      <x:c r="L200" s="20"/>
      <x:c r="M200" s="21"/>
      <x:c r="N200" s="20"/>
      <x:c r="O200" s="24" t="str">
        <x:f>IF(C200="","",MAX(0,TODAY()-C200))</x:f>
      </x:c>
      <x:c r="P200" s="22" t="str">
        <x:f>IF(OR(G200="",J200=""),"",G200*J200)</x:f>
      </x:c>
      <x:c r="Q200" s="20"/>
      <x:c r="R200" s="20"/>
      <x:c r="S200" s="20"/>
      <x:c r="T200" s="22" t="str">
        <x:f>IF(K200="","",IFERROR(VLOOKUP(K200,Listas!$G$2:$J$8,4,FALSE),0))</x:f>
      </x:c>
      <x:c r="U200" s="23" t="n">
        <x:f>IFERROR(H200/T200,0)</x:f>
        <x:v>0</x:v>
      </x:c>
      <x:c r="V200" s="20"/>
    </x:row>
    <x:row r="201">
      <x:c r="A201" s="20"/>
      <x:c r="B201" s="20"/>
      <x:c r="C201" s="21"/>
      <x:c r="D201" s="20"/>
      <x:c r="E201" s="20"/>
      <x:c r="F201" s="20"/>
      <x:c r="G201" s="22"/>
      <x:c r="H201" s="22"/>
      <x:c r="I201" s="22"/>
      <x:c r="J201" s="23"/>
      <x:c r="K201" s="20"/>
      <x:c r="L201" s="20"/>
      <x:c r="M201" s="21"/>
      <x:c r="N201" s="20"/>
      <x:c r="O201" s="24" t="str">
        <x:f>IF(C201="","",MAX(0,TODAY()-C201))</x:f>
      </x:c>
      <x:c r="P201" s="22" t="str">
        <x:f>IF(OR(G201="",J201=""),"",G201*J201)</x:f>
      </x:c>
      <x:c r="Q201" s="20"/>
      <x:c r="R201" s="20"/>
      <x:c r="S201" s="20"/>
      <x:c r="T201" s="22" t="str">
        <x:f>IF(K201="","",IFERROR(VLOOKUP(K201,Listas!$G$2:$J$8,4,FALSE),0))</x:f>
      </x:c>
      <x:c r="U201" s="23" t="n">
        <x:f>IFERROR(H201/T201,0)</x:f>
        <x:v>0</x:v>
      </x:c>
      <x:c r="V201" s="20"/>
    </x:row>
    <x:row r="202">
      <x:c r="A202" s="20"/>
      <x:c r="B202" s="20"/>
      <x:c r="C202" s="21"/>
      <x:c r="D202" s="20"/>
      <x:c r="E202" s="20"/>
      <x:c r="F202" s="20"/>
      <x:c r="G202" s="22"/>
      <x:c r="H202" s="22"/>
      <x:c r="I202" s="22"/>
      <x:c r="J202" s="23"/>
      <x:c r="K202" s="20"/>
      <x:c r="L202" s="20"/>
      <x:c r="M202" s="21"/>
      <x:c r="N202" s="20"/>
      <x:c r="O202" s="24" t="str">
        <x:f>IF(C202="","",MAX(0,TODAY()-C202))</x:f>
      </x:c>
      <x:c r="P202" s="22" t="str">
        <x:f>IF(OR(G202="",J202=""),"",G202*J202)</x:f>
      </x:c>
      <x:c r="Q202" s="20"/>
      <x:c r="R202" s="20"/>
      <x:c r="S202" s="20"/>
      <x:c r="T202" s="22" t="str">
        <x:f>IF(K202="","",IFERROR(VLOOKUP(K202,Listas!$G$2:$J$8,4,FALSE),0))</x:f>
      </x:c>
      <x:c r="U202" s="23" t="n">
        <x:f>IFERROR(H202/T202,0)</x:f>
        <x:v>0</x:v>
      </x:c>
      <x:c r="V202" s="20"/>
    </x:row>
    <x:row r="203">
      <x:c r="A203" s="20"/>
      <x:c r="B203" s="20"/>
      <x:c r="C203" s="21"/>
      <x:c r="D203" s="20"/>
      <x:c r="E203" s="20"/>
      <x:c r="F203" s="20"/>
      <x:c r="G203" s="22"/>
      <x:c r="H203" s="22"/>
      <x:c r="I203" s="22"/>
      <x:c r="J203" s="23"/>
      <x:c r="K203" s="20"/>
      <x:c r="L203" s="20"/>
      <x:c r="M203" s="21"/>
      <x:c r="N203" s="20"/>
      <x:c r="O203" s="24" t="str">
        <x:f>IF(C203="","",MAX(0,TODAY()-C203))</x:f>
      </x:c>
      <x:c r="P203" s="22" t="str">
        <x:f>IF(OR(G203="",J203=""),"",G203*J203)</x:f>
      </x:c>
      <x:c r="Q203" s="20"/>
      <x:c r="R203" s="20"/>
      <x:c r="S203" s="20"/>
      <x:c r="T203" s="22" t="str">
        <x:f>IF(K203="","",IFERROR(VLOOKUP(K203,Listas!$G$2:$J$8,4,FALSE),0))</x:f>
      </x:c>
      <x:c r="U203" s="23" t="n">
        <x:f>IFERROR(H203/T203,0)</x:f>
        <x:v>0</x:v>
      </x:c>
      <x:c r="V203" s="20"/>
    </x:row>
    <x:row r="204">
      <x:c r="A204" s="20"/>
      <x:c r="B204" s="20"/>
      <x:c r="C204" s="21"/>
      <x:c r="D204" s="20"/>
      <x:c r="E204" s="20"/>
      <x:c r="F204" s="20"/>
      <x:c r="G204" s="22"/>
      <x:c r="H204" s="22"/>
      <x:c r="I204" s="22"/>
      <x:c r="J204" s="23"/>
      <x:c r="K204" s="20"/>
      <x:c r="L204" s="20"/>
      <x:c r="M204" s="21"/>
      <x:c r="N204" s="20"/>
      <x:c r="O204" s="24" t="str">
        <x:f>IF(C204="","",MAX(0,TODAY()-C204))</x:f>
      </x:c>
      <x:c r="P204" s="22" t="str">
        <x:f>IF(OR(G204="",J204=""),"",G204*J204)</x:f>
      </x:c>
      <x:c r="Q204" s="20"/>
      <x:c r="R204" s="20"/>
      <x:c r="S204" s="20"/>
      <x:c r="T204" s="22" t="str">
        <x:f>IF(K204="","",IFERROR(VLOOKUP(K204,Listas!$G$2:$J$8,4,FALSE),0))</x:f>
      </x:c>
      <x:c r="U204" s="23" t="n">
        <x:f>IFERROR(H204/T204,0)</x:f>
        <x:v>0</x:v>
      </x:c>
      <x:c r="V204" s="20"/>
    </x:row>
    <x:row r="205">
      <x:c r="A205" s="20"/>
      <x:c r="B205" s="20"/>
      <x:c r="C205" s="21"/>
      <x:c r="D205" s="20"/>
      <x:c r="E205" s="20"/>
      <x:c r="F205" s="20"/>
      <x:c r="G205" s="22"/>
      <x:c r="H205" s="22"/>
      <x:c r="I205" s="22"/>
      <x:c r="J205" s="23"/>
      <x:c r="K205" s="20"/>
      <x:c r="L205" s="20"/>
      <x:c r="M205" s="21"/>
      <x:c r="N205" s="20"/>
      <x:c r="O205" s="24" t="str">
        <x:f>IF(C205="","",MAX(0,TODAY()-C205))</x:f>
      </x:c>
      <x:c r="P205" s="22" t="str">
        <x:f>IF(OR(G205="",J205=""),"",G205*J205)</x:f>
      </x:c>
      <x:c r="Q205" s="20"/>
      <x:c r="R205" s="20"/>
      <x:c r="S205" s="20"/>
      <x:c r="T205" s="22" t="str">
        <x:f>IF(K205="","",IFERROR(VLOOKUP(K205,Listas!$G$2:$J$8,4,FALSE),0))</x:f>
      </x:c>
      <x:c r="U205" s="23" t="n">
        <x:f>IFERROR(H205/T205,0)</x:f>
        <x:v>0</x:v>
      </x:c>
      <x:c r="V205" s="20"/>
    </x:row>
    <x:row r="206">
      <x:c r="A206" s="20"/>
      <x:c r="B206" s="20"/>
      <x:c r="C206" s="21"/>
      <x:c r="D206" s="20"/>
      <x:c r="E206" s="20"/>
      <x:c r="F206" s="20"/>
      <x:c r="G206" s="22"/>
      <x:c r="H206" s="22"/>
      <x:c r="I206" s="22"/>
      <x:c r="J206" s="23"/>
      <x:c r="K206" s="20"/>
      <x:c r="L206" s="20"/>
      <x:c r="M206" s="21"/>
      <x:c r="N206" s="20"/>
      <x:c r="O206" s="24" t="str">
        <x:f>IF(C206="","",MAX(0,TODAY()-C206))</x:f>
      </x:c>
      <x:c r="P206" s="22" t="str">
        <x:f>IF(OR(G206="",J206=""),"",G206*J206)</x:f>
      </x:c>
      <x:c r="Q206" s="20"/>
      <x:c r="R206" s="20"/>
      <x:c r="S206" s="20"/>
      <x:c r="T206" s="22" t="str">
        <x:f>IF(K206="","",IFERROR(VLOOKUP(K206,Listas!$G$2:$J$8,4,FALSE),0))</x:f>
      </x:c>
      <x:c r="U206" s="23" t="n">
        <x:f>IFERROR(H206/T206,0)</x:f>
        <x:v>0</x:v>
      </x:c>
      <x:c r="V206" s="20"/>
    </x:row>
    <x:row r="207">
      <x:c r="A207" s="20"/>
      <x:c r="B207" s="20"/>
      <x:c r="C207" s="21"/>
      <x:c r="D207" s="20"/>
      <x:c r="E207" s="20"/>
      <x:c r="F207" s="20"/>
      <x:c r="G207" s="22"/>
      <x:c r="H207" s="22"/>
      <x:c r="I207" s="22"/>
      <x:c r="J207" s="23"/>
      <x:c r="K207" s="20"/>
      <x:c r="L207" s="20"/>
      <x:c r="M207" s="21"/>
      <x:c r="N207" s="20"/>
      <x:c r="O207" s="24" t="str">
        <x:f>IF(C207="","",MAX(0,TODAY()-C207))</x:f>
      </x:c>
      <x:c r="P207" s="22" t="str">
        <x:f>IF(OR(G207="",J207=""),"",G207*J207)</x:f>
      </x:c>
      <x:c r="Q207" s="20"/>
      <x:c r="R207" s="20"/>
      <x:c r="S207" s="20"/>
      <x:c r="T207" s="22" t="str">
        <x:f>IF(K207="","",IFERROR(VLOOKUP(K207,Listas!$G$2:$J$8,4,FALSE),0))</x:f>
      </x:c>
      <x:c r="U207" s="23" t="n">
        <x:f>IFERROR(H207/T207,0)</x:f>
        <x:v>0</x:v>
      </x:c>
      <x:c r="V207" s="20"/>
    </x:row>
    <x:row r="208">
      <x:c r="A208" s="20"/>
      <x:c r="B208" s="20"/>
      <x:c r="C208" s="21"/>
      <x:c r="D208" s="20"/>
      <x:c r="E208" s="20"/>
      <x:c r="F208" s="20"/>
      <x:c r="G208" s="22"/>
      <x:c r="H208" s="22"/>
      <x:c r="I208" s="22"/>
      <x:c r="J208" s="23"/>
      <x:c r="K208" s="20"/>
      <x:c r="L208" s="20"/>
      <x:c r="M208" s="21"/>
      <x:c r="N208" s="20"/>
      <x:c r="O208" s="24" t="str">
        <x:f>IF(C208="","",MAX(0,TODAY()-C208))</x:f>
      </x:c>
      <x:c r="P208" s="22" t="str">
        <x:f>IF(OR(G208="",J208=""),"",G208*J208)</x:f>
      </x:c>
      <x:c r="Q208" s="20"/>
      <x:c r="R208" s="20"/>
      <x:c r="S208" s="20"/>
      <x:c r="T208" s="22" t="str">
        <x:f>IF(K208="","",IFERROR(VLOOKUP(K208,Listas!$G$2:$J$8,4,FALSE),0))</x:f>
      </x:c>
      <x:c r="U208" s="23" t="n">
        <x:f>IFERROR(H208/T208,0)</x:f>
        <x:v>0</x:v>
      </x:c>
      <x:c r="V208" s="20"/>
    </x:row>
    <x:row r="209">
      <x:c r="A209" s="20"/>
      <x:c r="B209" s="20"/>
      <x:c r="C209" s="21"/>
      <x:c r="D209" s="20"/>
      <x:c r="E209" s="20"/>
      <x:c r="F209" s="20"/>
      <x:c r="G209" s="22"/>
      <x:c r="H209" s="22"/>
      <x:c r="I209" s="22"/>
      <x:c r="J209" s="23"/>
      <x:c r="K209" s="20"/>
      <x:c r="L209" s="20"/>
      <x:c r="M209" s="21"/>
      <x:c r="N209" s="20"/>
      <x:c r="O209" s="24" t="str">
        <x:f>IF(C209="","",MAX(0,TODAY()-C209))</x:f>
      </x:c>
      <x:c r="P209" s="22" t="str">
        <x:f>IF(OR(G209="",J209=""),"",G209*J209)</x:f>
      </x:c>
      <x:c r="Q209" s="20"/>
      <x:c r="R209" s="20"/>
      <x:c r="S209" s="20"/>
      <x:c r="T209" s="22" t="str">
        <x:f>IF(K209="","",IFERROR(VLOOKUP(K209,Listas!$G$2:$J$8,4,FALSE),0))</x:f>
      </x:c>
      <x:c r="U209" s="23" t="n">
        <x:f>IFERROR(H209/T209,0)</x:f>
        <x:v>0</x:v>
      </x:c>
      <x:c r="V209" s="20"/>
    </x:row>
    <x:row r="210">
      <x:c r="A210" s="20"/>
      <x:c r="B210" s="20"/>
      <x:c r="C210" s="21"/>
      <x:c r="D210" s="20"/>
      <x:c r="E210" s="20"/>
      <x:c r="F210" s="20"/>
      <x:c r="G210" s="22"/>
      <x:c r="H210" s="22"/>
      <x:c r="I210" s="22"/>
      <x:c r="J210" s="23"/>
      <x:c r="K210" s="20"/>
      <x:c r="L210" s="20"/>
      <x:c r="M210" s="21"/>
      <x:c r="N210" s="20"/>
      <x:c r="O210" s="24" t="str">
        <x:f>IF(C210="","",MAX(0,TODAY()-C210))</x:f>
      </x:c>
      <x:c r="P210" s="22" t="str">
        <x:f>IF(OR(G210="",J210=""),"",G210*J210)</x:f>
      </x:c>
      <x:c r="Q210" s="20"/>
      <x:c r="R210" s="20"/>
      <x:c r="S210" s="20"/>
      <x:c r="T210" s="22" t="str">
        <x:f>IF(K210="","",IFERROR(VLOOKUP(K210,Listas!$G$2:$J$8,4,FALSE),0))</x:f>
      </x:c>
      <x:c r="U210" s="23" t="n">
        <x:f>IFERROR(H210/T210,0)</x:f>
        <x:v>0</x:v>
      </x:c>
      <x:c r="V210" s="20"/>
    </x:row>
    <x:row r="211">
      <x:c r="A211" s="20"/>
      <x:c r="B211" s="20"/>
      <x:c r="C211" s="21"/>
      <x:c r="D211" s="20"/>
      <x:c r="E211" s="20"/>
      <x:c r="F211" s="20"/>
      <x:c r="G211" s="22"/>
      <x:c r="H211" s="22"/>
      <x:c r="I211" s="22"/>
      <x:c r="J211" s="23"/>
      <x:c r="K211" s="20"/>
      <x:c r="L211" s="20"/>
      <x:c r="M211" s="21"/>
      <x:c r="N211" s="20"/>
      <x:c r="O211" s="24" t="str">
        <x:f>IF(C211="","",MAX(0,TODAY()-C211))</x:f>
      </x:c>
      <x:c r="P211" s="22" t="str">
        <x:f>IF(OR(G211="",J211=""),"",G211*J211)</x:f>
      </x:c>
      <x:c r="Q211" s="20"/>
      <x:c r="R211" s="20"/>
      <x:c r="S211" s="20"/>
      <x:c r="T211" s="22" t="str">
        <x:f>IF(K211="","",IFERROR(VLOOKUP(K211,Listas!$G$2:$J$8,4,FALSE),0))</x:f>
      </x:c>
      <x:c r="U211" s="23" t="n">
        <x:f>IFERROR(H211/T211,0)</x:f>
        <x:v>0</x:v>
      </x:c>
      <x:c r="V211" s="20"/>
    </x:row>
    <x:row r="212">
      <x:c r="A212" s="20"/>
      <x:c r="B212" s="20"/>
      <x:c r="C212" s="21"/>
      <x:c r="D212" s="20"/>
      <x:c r="E212" s="20"/>
      <x:c r="F212" s="20"/>
      <x:c r="G212" s="22"/>
      <x:c r="H212" s="22"/>
      <x:c r="I212" s="22"/>
      <x:c r="J212" s="23"/>
      <x:c r="K212" s="20"/>
      <x:c r="L212" s="20"/>
      <x:c r="M212" s="21"/>
      <x:c r="N212" s="20"/>
      <x:c r="O212" s="24" t="str">
        <x:f>IF(C212="","",MAX(0,TODAY()-C212))</x:f>
      </x:c>
      <x:c r="P212" s="22" t="str">
        <x:f>IF(OR(G212="",J212=""),"",G212*J212)</x:f>
      </x:c>
      <x:c r="Q212" s="20"/>
      <x:c r="R212" s="20"/>
      <x:c r="S212" s="20"/>
      <x:c r="T212" s="22" t="str">
        <x:f>IF(K212="","",IFERROR(VLOOKUP(K212,Listas!$G$2:$J$8,4,FALSE),0))</x:f>
      </x:c>
      <x:c r="U212" s="23" t="n">
        <x:f>IFERROR(H212/T212,0)</x:f>
        <x:v>0</x:v>
      </x:c>
      <x:c r="V212" s="20"/>
    </x:row>
    <x:row r="213">
      <x:c r="A213" s="20"/>
      <x:c r="B213" s="20"/>
      <x:c r="C213" s="21"/>
      <x:c r="D213" s="20"/>
      <x:c r="E213" s="20"/>
      <x:c r="F213" s="20"/>
      <x:c r="G213" s="22"/>
      <x:c r="H213" s="22"/>
      <x:c r="I213" s="22"/>
      <x:c r="J213" s="23"/>
      <x:c r="K213" s="20"/>
      <x:c r="L213" s="20"/>
      <x:c r="M213" s="21"/>
      <x:c r="N213" s="20"/>
      <x:c r="O213" s="24" t="str">
        <x:f>IF(C213="","",MAX(0,TODAY()-C213))</x:f>
      </x:c>
      <x:c r="P213" s="22" t="str">
        <x:f>IF(OR(G213="",J213=""),"",G213*J213)</x:f>
      </x:c>
      <x:c r="Q213" s="20"/>
      <x:c r="R213" s="20"/>
      <x:c r="S213" s="20"/>
      <x:c r="T213" s="22" t="str">
        <x:f>IF(K213="","",IFERROR(VLOOKUP(K213,Listas!$G$2:$J$8,4,FALSE),0))</x:f>
      </x:c>
      <x:c r="U213" s="23" t="n">
        <x:f>IFERROR(H213/T213,0)</x:f>
        <x:v>0</x:v>
      </x:c>
      <x:c r="V213" s="20"/>
    </x:row>
    <x:row r="214">
      <x:c r="A214" s="20"/>
      <x:c r="B214" s="20"/>
      <x:c r="C214" s="21"/>
      <x:c r="D214" s="20"/>
      <x:c r="E214" s="20"/>
      <x:c r="F214" s="20"/>
      <x:c r="G214" s="22"/>
      <x:c r="H214" s="22"/>
      <x:c r="I214" s="22"/>
      <x:c r="J214" s="23"/>
      <x:c r="K214" s="20"/>
      <x:c r="L214" s="20"/>
      <x:c r="M214" s="21"/>
      <x:c r="N214" s="20"/>
      <x:c r="O214" s="24" t="str">
        <x:f>IF(C214="","",MAX(0,TODAY()-C214))</x:f>
      </x:c>
      <x:c r="P214" s="22" t="str">
        <x:f>IF(OR(G214="",J214=""),"",G214*J214)</x:f>
      </x:c>
      <x:c r="Q214" s="20"/>
      <x:c r="R214" s="20"/>
      <x:c r="S214" s="20"/>
      <x:c r="T214" s="22" t="str">
        <x:f>IF(K214="","",IFERROR(VLOOKUP(K214,Listas!$G$2:$J$8,4,FALSE),0))</x:f>
      </x:c>
      <x:c r="U214" s="23" t="n">
        <x:f>IFERROR(H214/T214,0)</x:f>
        <x:v>0</x:v>
      </x:c>
      <x:c r="V214" s="20"/>
    </x:row>
    <x:row r="215">
      <x:c r="A215" s="20"/>
      <x:c r="B215" s="20"/>
      <x:c r="C215" s="21"/>
      <x:c r="D215" s="20"/>
      <x:c r="E215" s="20"/>
      <x:c r="F215" s="20"/>
      <x:c r="G215" s="22"/>
      <x:c r="H215" s="22"/>
      <x:c r="I215" s="22"/>
      <x:c r="J215" s="23"/>
      <x:c r="K215" s="20"/>
      <x:c r="L215" s="20"/>
      <x:c r="M215" s="21"/>
      <x:c r="N215" s="20"/>
      <x:c r="O215" s="24" t="str">
        <x:f>IF(C215="","",MAX(0,TODAY()-C215))</x:f>
      </x:c>
      <x:c r="P215" s="22" t="str">
        <x:f>IF(OR(G215="",J215=""),"",G215*J215)</x:f>
      </x:c>
      <x:c r="Q215" s="20"/>
      <x:c r="R215" s="20"/>
      <x:c r="S215" s="20"/>
      <x:c r="T215" s="22" t="str">
        <x:f>IF(K215="","",IFERROR(VLOOKUP(K215,Listas!$G$2:$J$8,4,FALSE),0))</x:f>
      </x:c>
      <x:c r="U215" s="23" t="n">
        <x:f>IFERROR(H215/T215,0)</x:f>
        <x:v>0</x:v>
      </x:c>
      <x:c r="V215" s="20"/>
    </x:row>
    <x:row r="216">
      <x:c r="A216" s="20"/>
      <x:c r="B216" s="20"/>
      <x:c r="C216" s="21"/>
      <x:c r="D216" s="20"/>
      <x:c r="E216" s="20"/>
      <x:c r="F216" s="20"/>
      <x:c r="G216" s="22"/>
      <x:c r="H216" s="22"/>
      <x:c r="I216" s="22"/>
      <x:c r="J216" s="23"/>
      <x:c r="K216" s="20"/>
      <x:c r="L216" s="20"/>
      <x:c r="M216" s="21"/>
      <x:c r="N216" s="20"/>
      <x:c r="O216" s="24" t="str">
        <x:f>IF(C216="","",MAX(0,TODAY()-C216))</x:f>
      </x:c>
      <x:c r="P216" s="22" t="str">
        <x:f>IF(OR(G216="",J216=""),"",G216*J216)</x:f>
      </x:c>
      <x:c r="Q216" s="20"/>
      <x:c r="R216" s="20"/>
      <x:c r="S216" s="20"/>
      <x:c r="T216" s="22" t="str">
        <x:f>IF(K216="","",IFERROR(VLOOKUP(K216,Listas!$G$2:$J$8,4,FALSE),0))</x:f>
      </x:c>
      <x:c r="U216" s="23" t="n">
        <x:f>IFERROR(H216/T216,0)</x:f>
        <x:v>0</x:v>
      </x:c>
      <x:c r="V216" s="20"/>
    </x:row>
    <x:row r="217">
      <x:c r="A217" s="20"/>
      <x:c r="B217" s="20"/>
      <x:c r="C217" s="21"/>
      <x:c r="D217" s="20"/>
      <x:c r="E217" s="20"/>
      <x:c r="F217" s="20"/>
      <x:c r="G217" s="22"/>
      <x:c r="H217" s="22"/>
      <x:c r="I217" s="22"/>
      <x:c r="J217" s="23"/>
      <x:c r="K217" s="20"/>
      <x:c r="L217" s="20"/>
      <x:c r="M217" s="21"/>
      <x:c r="N217" s="20"/>
      <x:c r="O217" s="24" t="str">
        <x:f>IF(C217="","",MAX(0,TODAY()-C217))</x:f>
      </x:c>
      <x:c r="P217" s="22" t="str">
        <x:f>IF(OR(G217="",J217=""),"",G217*J217)</x:f>
      </x:c>
      <x:c r="Q217" s="20"/>
      <x:c r="R217" s="20"/>
      <x:c r="S217" s="20"/>
      <x:c r="T217" s="22" t="str">
        <x:f>IF(K217="","",IFERROR(VLOOKUP(K217,Listas!$G$2:$J$8,4,FALSE),0))</x:f>
      </x:c>
      <x:c r="U217" s="23" t="n">
        <x:f>IFERROR(H217/T217,0)</x:f>
        <x:v>0</x:v>
      </x:c>
      <x:c r="V217" s="20"/>
    </x:row>
    <x:row r="218">
      <x:c r="A218" s="20"/>
      <x:c r="B218" s="20"/>
      <x:c r="C218" s="21"/>
      <x:c r="D218" s="20"/>
      <x:c r="E218" s="20"/>
      <x:c r="F218" s="20"/>
      <x:c r="G218" s="22"/>
      <x:c r="H218" s="22"/>
      <x:c r="I218" s="22"/>
      <x:c r="J218" s="23"/>
      <x:c r="K218" s="20"/>
      <x:c r="L218" s="20"/>
      <x:c r="M218" s="21"/>
      <x:c r="N218" s="20"/>
      <x:c r="O218" s="24" t="str">
        <x:f>IF(C218="","",MAX(0,TODAY()-C218))</x:f>
      </x:c>
      <x:c r="P218" s="22" t="str">
        <x:f>IF(OR(G218="",J218=""),"",G218*J218)</x:f>
      </x:c>
      <x:c r="Q218" s="20"/>
      <x:c r="R218" s="20"/>
      <x:c r="S218" s="20"/>
      <x:c r="T218" s="22" t="str">
        <x:f>IF(K218="","",IFERROR(VLOOKUP(K218,Listas!$G$2:$J$8,4,FALSE),0))</x:f>
      </x:c>
      <x:c r="U218" s="23" t="n">
        <x:f>IFERROR(H218/T218,0)</x:f>
        <x:v>0</x:v>
      </x:c>
      <x:c r="V218" s="20"/>
    </x:row>
    <x:row r="219">
      <x:c r="A219" s="20"/>
      <x:c r="B219" s="20"/>
      <x:c r="C219" s="21"/>
      <x:c r="D219" s="20"/>
      <x:c r="E219" s="20"/>
      <x:c r="F219" s="20"/>
      <x:c r="G219" s="22"/>
      <x:c r="H219" s="22"/>
      <x:c r="I219" s="22"/>
      <x:c r="J219" s="23"/>
      <x:c r="K219" s="20"/>
      <x:c r="L219" s="20"/>
      <x:c r="M219" s="21"/>
      <x:c r="N219" s="20"/>
      <x:c r="O219" s="24" t="str">
        <x:f>IF(C219="","",MAX(0,TODAY()-C219))</x:f>
      </x:c>
      <x:c r="P219" s="22" t="str">
        <x:f>IF(OR(G219="",J219=""),"",G219*J219)</x:f>
      </x:c>
      <x:c r="Q219" s="20"/>
      <x:c r="R219" s="20"/>
      <x:c r="S219" s="20"/>
      <x:c r="T219" s="22" t="str">
        <x:f>IF(K219="","",IFERROR(VLOOKUP(K219,Listas!$G$2:$J$8,4,FALSE),0))</x:f>
      </x:c>
      <x:c r="U219" s="23" t="n">
        <x:f>IFERROR(H219/T219,0)</x:f>
        <x:v>0</x:v>
      </x:c>
      <x:c r="V219" s="20"/>
    </x:row>
    <x:row r="220">
      <x:c r="A220" s="20"/>
      <x:c r="B220" s="20"/>
      <x:c r="C220" s="21"/>
      <x:c r="D220" s="20"/>
      <x:c r="E220" s="20"/>
      <x:c r="F220" s="20"/>
      <x:c r="G220" s="22"/>
      <x:c r="H220" s="22"/>
      <x:c r="I220" s="22"/>
      <x:c r="J220" s="23"/>
      <x:c r="K220" s="20"/>
      <x:c r="L220" s="20"/>
      <x:c r="M220" s="21"/>
      <x:c r="N220" s="20"/>
      <x:c r="O220" s="24" t="str">
        <x:f>IF(C220="","",MAX(0,TODAY()-C220))</x:f>
      </x:c>
      <x:c r="P220" s="22" t="str">
        <x:f>IF(OR(G220="",J220=""),"",G220*J220)</x:f>
      </x:c>
      <x:c r="Q220" s="20"/>
      <x:c r="R220" s="20"/>
      <x:c r="S220" s="20"/>
      <x:c r="T220" s="22" t="str">
        <x:f>IF(K220="","",IFERROR(VLOOKUP(K220,Listas!$G$2:$J$8,4,FALSE),0))</x:f>
      </x:c>
      <x:c r="U220" s="23" t="n">
        <x:f>IFERROR(H220/T220,0)</x:f>
        <x:v>0</x:v>
      </x:c>
      <x:c r="V220" s="20"/>
    </x:row>
    <x:row r="221">
      <x:c r="A221" s="20"/>
      <x:c r="B221" s="20"/>
      <x:c r="C221" s="21"/>
      <x:c r="D221" s="20"/>
      <x:c r="E221" s="20"/>
      <x:c r="F221" s="20"/>
      <x:c r="G221" s="22"/>
      <x:c r="H221" s="22"/>
      <x:c r="I221" s="22"/>
      <x:c r="J221" s="23"/>
      <x:c r="K221" s="20"/>
      <x:c r="L221" s="20"/>
      <x:c r="M221" s="21"/>
      <x:c r="N221" s="20"/>
      <x:c r="O221" s="24" t="str">
        <x:f>IF(C221="","",MAX(0,TODAY()-C221))</x:f>
      </x:c>
      <x:c r="P221" s="22" t="str">
        <x:f>IF(OR(G221="",J221=""),"",G221*J221)</x:f>
      </x:c>
      <x:c r="Q221" s="20"/>
      <x:c r="R221" s="20"/>
      <x:c r="S221" s="20"/>
      <x:c r="T221" s="22" t="str">
        <x:f>IF(K221="","",IFERROR(VLOOKUP(K221,Listas!$G$2:$J$8,4,FALSE),0))</x:f>
      </x:c>
      <x:c r="U221" s="23" t="n">
        <x:f>IFERROR(H221/T221,0)</x:f>
        <x:v>0</x:v>
      </x:c>
      <x:c r="V221" s="20"/>
    </x:row>
    <x:row r="222">
      <x:c r="A222" s="20"/>
      <x:c r="B222" s="20"/>
      <x:c r="C222" s="21"/>
      <x:c r="D222" s="20"/>
      <x:c r="E222" s="20"/>
      <x:c r="F222" s="20"/>
      <x:c r="G222" s="22"/>
      <x:c r="H222" s="22"/>
      <x:c r="I222" s="22"/>
      <x:c r="J222" s="23"/>
      <x:c r="K222" s="20"/>
      <x:c r="L222" s="20"/>
      <x:c r="M222" s="21"/>
      <x:c r="N222" s="20"/>
      <x:c r="O222" s="24" t="str">
        <x:f>IF(C222="","",MAX(0,TODAY()-C222))</x:f>
      </x:c>
      <x:c r="P222" s="22" t="str">
        <x:f>IF(OR(G222="",J222=""),"",G222*J222)</x:f>
      </x:c>
      <x:c r="Q222" s="20"/>
      <x:c r="R222" s="20"/>
      <x:c r="S222" s="20"/>
      <x:c r="T222" s="22" t="str">
        <x:f>IF(K222="","",IFERROR(VLOOKUP(K222,Listas!$G$2:$J$8,4,FALSE),0))</x:f>
      </x:c>
      <x:c r="U222" s="23" t="n">
        <x:f>IFERROR(H222/T222,0)</x:f>
        <x:v>0</x:v>
      </x:c>
      <x:c r="V222" s="20"/>
    </x:row>
    <x:row r="223">
      <x:c r="A223" s="20"/>
      <x:c r="B223" s="20"/>
      <x:c r="C223" s="21"/>
      <x:c r="D223" s="20"/>
      <x:c r="E223" s="20"/>
      <x:c r="F223" s="20"/>
      <x:c r="G223" s="22"/>
      <x:c r="H223" s="22"/>
      <x:c r="I223" s="22"/>
      <x:c r="J223" s="23"/>
      <x:c r="K223" s="20"/>
      <x:c r="L223" s="20"/>
      <x:c r="M223" s="21"/>
      <x:c r="N223" s="20"/>
      <x:c r="O223" s="24" t="str">
        <x:f>IF(C223="","",MAX(0,TODAY()-C223))</x:f>
      </x:c>
      <x:c r="P223" s="22" t="str">
        <x:f>IF(OR(G223="",J223=""),"",G223*J223)</x:f>
      </x:c>
      <x:c r="Q223" s="20"/>
      <x:c r="R223" s="20"/>
      <x:c r="S223" s="20"/>
      <x:c r="T223" s="22" t="str">
        <x:f>IF(K223="","",IFERROR(VLOOKUP(K223,Listas!$G$2:$J$8,4,FALSE),0))</x:f>
      </x:c>
      <x:c r="U223" s="23" t="n">
        <x:f>IFERROR(H223/T223,0)</x:f>
        <x:v>0</x:v>
      </x:c>
      <x:c r="V223" s="20"/>
    </x:row>
    <x:row r="224">
      <x:c r="A224" s="20"/>
      <x:c r="B224" s="20"/>
      <x:c r="C224" s="21"/>
      <x:c r="D224" s="20"/>
      <x:c r="E224" s="20"/>
      <x:c r="F224" s="20"/>
      <x:c r="G224" s="22"/>
      <x:c r="H224" s="22"/>
      <x:c r="I224" s="22"/>
      <x:c r="J224" s="23"/>
      <x:c r="K224" s="20"/>
      <x:c r="L224" s="20"/>
      <x:c r="M224" s="21"/>
      <x:c r="N224" s="20"/>
      <x:c r="O224" s="24" t="str">
        <x:f>IF(C224="","",MAX(0,TODAY()-C224))</x:f>
      </x:c>
      <x:c r="P224" s="22" t="str">
        <x:f>IF(OR(G224="",J224=""),"",G224*J224)</x:f>
      </x:c>
      <x:c r="Q224" s="20"/>
      <x:c r="R224" s="20"/>
      <x:c r="S224" s="20"/>
      <x:c r="T224" s="22" t="str">
        <x:f>IF(K224="","",IFERROR(VLOOKUP(K224,Listas!$G$2:$J$8,4,FALSE),0))</x:f>
      </x:c>
      <x:c r="U224" s="23" t="n">
        <x:f>IFERROR(H224/T224,0)</x:f>
        <x:v>0</x:v>
      </x:c>
      <x:c r="V224" s="20"/>
    </x:row>
    <x:row r="225">
      <x:c r="A225" s="20"/>
      <x:c r="B225" s="20"/>
      <x:c r="C225" s="21"/>
      <x:c r="D225" s="20"/>
      <x:c r="E225" s="20"/>
      <x:c r="F225" s="20"/>
      <x:c r="G225" s="22"/>
      <x:c r="H225" s="22"/>
      <x:c r="I225" s="22"/>
      <x:c r="J225" s="23"/>
      <x:c r="K225" s="20"/>
      <x:c r="L225" s="20"/>
      <x:c r="M225" s="21"/>
      <x:c r="N225" s="20"/>
      <x:c r="O225" s="24" t="str">
        <x:f>IF(C225="","",MAX(0,TODAY()-C225))</x:f>
      </x:c>
      <x:c r="P225" s="22" t="str">
        <x:f>IF(OR(G225="",J225=""),"",G225*J225)</x:f>
      </x:c>
      <x:c r="Q225" s="20"/>
      <x:c r="R225" s="20"/>
      <x:c r="S225" s="20"/>
      <x:c r="T225" s="22" t="str">
        <x:f>IF(K225="","",IFERROR(VLOOKUP(K225,Listas!$G$2:$J$8,4,FALSE),0))</x:f>
      </x:c>
      <x:c r="U225" s="23" t="n">
        <x:f>IFERROR(H225/T225,0)</x:f>
        <x:v>0</x:v>
      </x:c>
      <x:c r="V225" s="20"/>
    </x:row>
    <x:row r="226">
      <x:c r="A226" s="20"/>
      <x:c r="B226" s="20"/>
      <x:c r="C226" s="21"/>
      <x:c r="D226" s="20"/>
      <x:c r="E226" s="20"/>
      <x:c r="F226" s="20"/>
      <x:c r="G226" s="22"/>
      <x:c r="H226" s="22"/>
      <x:c r="I226" s="22"/>
      <x:c r="J226" s="23"/>
      <x:c r="K226" s="20"/>
      <x:c r="L226" s="20"/>
      <x:c r="M226" s="21"/>
      <x:c r="N226" s="20"/>
      <x:c r="O226" s="24" t="str">
        <x:f>IF(C226="","",MAX(0,TODAY()-C226))</x:f>
      </x:c>
      <x:c r="P226" s="22" t="str">
        <x:f>IF(OR(G226="",J226=""),"",G226*J226)</x:f>
      </x:c>
      <x:c r="Q226" s="20"/>
      <x:c r="R226" s="20"/>
      <x:c r="S226" s="20"/>
      <x:c r="T226" s="22" t="str">
        <x:f>IF(K226="","",IFERROR(VLOOKUP(K226,Listas!$G$2:$J$8,4,FALSE),0))</x:f>
      </x:c>
      <x:c r="U226" s="23" t="n">
        <x:f>IFERROR(H226/T226,0)</x:f>
        <x:v>0</x:v>
      </x:c>
      <x:c r="V226" s="20"/>
    </x:row>
    <x:row r="227">
      <x:c r="A227" s="20"/>
      <x:c r="B227" s="20"/>
      <x:c r="C227" s="21"/>
      <x:c r="D227" s="20"/>
      <x:c r="E227" s="20"/>
      <x:c r="F227" s="20"/>
      <x:c r="G227" s="22"/>
      <x:c r="H227" s="22"/>
      <x:c r="I227" s="22"/>
      <x:c r="J227" s="23"/>
      <x:c r="K227" s="20"/>
      <x:c r="L227" s="20"/>
      <x:c r="M227" s="21"/>
      <x:c r="N227" s="20"/>
      <x:c r="O227" s="24" t="str">
        <x:f>IF(C227="","",MAX(0,TODAY()-C227))</x:f>
      </x:c>
      <x:c r="P227" s="22" t="str">
        <x:f>IF(OR(G227="",J227=""),"",G227*J227)</x:f>
      </x:c>
      <x:c r="Q227" s="20"/>
      <x:c r="R227" s="20"/>
      <x:c r="S227" s="20"/>
      <x:c r="T227" s="22" t="str">
        <x:f>IF(K227="","",IFERROR(VLOOKUP(K227,Listas!$G$2:$J$8,4,FALSE),0))</x:f>
      </x:c>
      <x:c r="U227" s="23" t="n">
        <x:f>IFERROR(H227/T227,0)</x:f>
        <x:v>0</x:v>
      </x:c>
      <x:c r="V227" s="20"/>
    </x:row>
    <x:row r="228">
      <x:c r="A228" s="20"/>
      <x:c r="B228" s="20"/>
      <x:c r="C228" s="21"/>
      <x:c r="D228" s="20"/>
      <x:c r="E228" s="20"/>
      <x:c r="F228" s="20"/>
      <x:c r="G228" s="22"/>
      <x:c r="H228" s="22"/>
      <x:c r="I228" s="22"/>
      <x:c r="J228" s="23"/>
      <x:c r="K228" s="20"/>
      <x:c r="L228" s="20"/>
      <x:c r="M228" s="21"/>
      <x:c r="N228" s="20"/>
      <x:c r="O228" s="24" t="str">
        <x:f>IF(C228="","",MAX(0,TODAY()-C228))</x:f>
      </x:c>
      <x:c r="P228" s="22" t="str">
        <x:f>IF(OR(G228="",J228=""),"",G228*J228)</x:f>
      </x:c>
      <x:c r="Q228" s="20"/>
      <x:c r="R228" s="20"/>
      <x:c r="S228" s="20"/>
      <x:c r="T228" s="22" t="str">
        <x:f>IF(K228="","",IFERROR(VLOOKUP(K228,Listas!$G$2:$J$8,4,FALSE),0))</x:f>
      </x:c>
      <x:c r="U228" s="23" t="n">
        <x:f>IFERROR(H228/T228,0)</x:f>
        <x:v>0</x:v>
      </x:c>
      <x:c r="V228" s="20"/>
    </x:row>
    <x:row r="229">
      <x:c r="A229" s="20"/>
      <x:c r="B229" s="20"/>
      <x:c r="C229" s="21"/>
      <x:c r="D229" s="20"/>
      <x:c r="E229" s="20"/>
      <x:c r="F229" s="20"/>
      <x:c r="G229" s="22"/>
      <x:c r="H229" s="22"/>
      <x:c r="I229" s="22"/>
      <x:c r="J229" s="23"/>
      <x:c r="K229" s="20"/>
      <x:c r="L229" s="20"/>
      <x:c r="M229" s="21"/>
      <x:c r="N229" s="20"/>
      <x:c r="O229" s="24" t="str">
        <x:f>IF(C229="","",MAX(0,TODAY()-C229))</x:f>
      </x:c>
      <x:c r="P229" s="22" t="str">
        <x:f>IF(OR(G229="",J229=""),"",G229*J229)</x:f>
      </x:c>
      <x:c r="Q229" s="20"/>
      <x:c r="R229" s="20"/>
      <x:c r="S229" s="20"/>
      <x:c r="T229" s="22" t="str">
        <x:f>IF(K229="","",IFERROR(VLOOKUP(K229,Listas!$G$2:$J$8,4,FALSE),0))</x:f>
      </x:c>
      <x:c r="U229" s="23" t="n">
        <x:f>IFERROR(H229/T229,0)</x:f>
        <x:v>0</x:v>
      </x:c>
      <x:c r="V229" s="20"/>
    </x:row>
    <x:row r="230">
      <x:c r="A230" s="20"/>
      <x:c r="B230" s="20"/>
      <x:c r="C230" s="21"/>
      <x:c r="D230" s="20"/>
      <x:c r="E230" s="20"/>
      <x:c r="F230" s="20"/>
      <x:c r="G230" s="22"/>
      <x:c r="H230" s="22"/>
      <x:c r="I230" s="22"/>
      <x:c r="J230" s="23"/>
      <x:c r="K230" s="20"/>
      <x:c r="L230" s="20"/>
      <x:c r="M230" s="21"/>
      <x:c r="N230" s="20"/>
      <x:c r="O230" s="24" t="str">
        <x:f>IF(C230="","",MAX(0,TODAY()-C230))</x:f>
      </x:c>
      <x:c r="P230" s="22" t="str">
        <x:f>IF(OR(G230="",J230=""),"",G230*J230)</x:f>
      </x:c>
      <x:c r="Q230" s="20"/>
      <x:c r="R230" s="20"/>
      <x:c r="S230" s="20"/>
      <x:c r="T230" s="22" t="str">
        <x:f>IF(K230="","",IFERROR(VLOOKUP(K230,Listas!$G$2:$J$8,4,FALSE),0))</x:f>
      </x:c>
      <x:c r="U230" s="23" t="n">
        <x:f>IFERROR(H230/T230,0)</x:f>
        <x:v>0</x:v>
      </x:c>
      <x:c r="V230" s="20"/>
    </x:row>
    <x:row r="231">
      <x:c r="A231" s="20"/>
      <x:c r="B231" s="20"/>
      <x:c r="C231" s="21"/>
      <x:c r="D231" s="20"/>
      <x:c r="E231" s="20"/>
      <x:c r="F231" s="20"/>
      <x:c r="G231" s="22"/>
      <x:c r="H231" s="22"/>
      <x:c r="I231" s="22"/>
      <x:c r="J231" s="23"/>
      <x:c r="K231" s="20"/>
      <x:c r="L231" s="20"/>
      <x:c r="M231" s="21"/>
      <x:c r="N231" s="20"/>
      <x:c r="O231" s="24" t="str">
        <x:f>IF(C231="","",MAX(0,TODAY()-C231))</x:f>
      </x:c>
      <x:c r="P231" s="22" t="str">
        <x:f>IF(OR(G231="",J231=""),"",G231*J231)</x:f>
      </x:c>
      <x:c r="Q231" s="20"/>
      <x:c r="R231" s="20"/>
      <x:c r="S231" s="20"/>
      <x:c r="T231" s="22" t="str">
        <x:f>IF(K231="","",IFERROR(VLOOKUP(K231,Listas!$G$2:$J$8,4,FALSE),0))</x:f>
      </x:c>
      <x:c r="U231" s="23" t="n">
        <x:f>IFERROR(H231/T231,0)</x:f>
        <x:v>0</x:v>
      </x:c>
      <x:c r="V231" s="20"/>
    </x:row>
    <x:row r="232">
      <x:c r="A232" s="20"/>
      <x:c r="B232" s="20"/>
      <x:c r="C232" s="21"/>
      <x:c r="D232" s="20"/>
      <x:c r="E232" s="20"/>
      <x:c r="F232" s="20"/>
      <x:c r="G232" s="22"/>
      <x:c r="H232" s="22"/>
      <x:c r="I232" s="22"/>
      <x:c r="J232" s="23"/>
      <x:c r="K232" s="20"/>
      <x:c r="L232" s="20"/>
      <x:c r="M232" s="21"/>
      <x:c r="N232" s="20"/>
      <x:c r="O232" s="24" t="str">
        <x:f>IF(C232="","",MAX(0,TODAY()-C232))</x:f>
      </x:c>
      <x:c r="P232" s="22" t="str">
        <x:f>IF(OR(G232="",J232=""),"",G232*J232)</x:f>
      </x:c>
      <x:c r="Q232" s="20"/>
      <x:c r="R232" s="20"/>
      <x:c r="S232" s="20"/>
      <x:c r="T232" s="22" t="str">
        <x:f>IF(K232="","",IFERROR(VLOOKUP(K232,Listas!$G$2:$J$8,4,FALSE),0))</x:f>
      </x:c>
      <x:c r="U232" s="23" t="n">
        <x:f>IFERROR(H232/T232,0)</x:f>
        <x:v>0</x:v>
      </x:c>
      <x:c r="V232" s="20"/>
    </x:row>
    <x:row r="233">
      <x:c r="A233" s="20"/>
      <x:c r="B233" s="20"/>
      <x:c r="C233" s="21"/>
      <x:c r="D233" s="20"/>
      <x:c r="E233" s="20"/>
      <x:c r="F233" s="20"/>
      <x:c r="G233" s="22"/>
      <x:c r="H233" s="22"/>
      <x:c r="I233" s="22"/>
      <x:c r="J233" s="23"/>
      <x:c r="K233" s="20"/>
      <x:c r="L233" s="20"/>
      <x:c r="M233" s="21"/>
      <x:c r="N233" s="20"/>
      <x:c r="O233" s="24" t="str">
        <x:f>IF(C233="","",MAX(0,TODAY()-C233))</x:f>
      </x:c>
      <x:c r="P233" s="22" t="str">
        <x:f>IF(OR(G233="",J233=""),"",G233*J233)</x:f>
      </x:c>
      <x:c r="Q233" s="20"/>
      <x:c r="R233" s="20"/>
      <x:c r="S233" s="20"/>
      <x:c r="T233" s="22" t="str">
        <x:f>IF(K233="","",IFERROR(VLOOKUP(K233,Listas!$G$2:$J$8,4,FALSE),0))</x:f>
      </x:c>
      <x:c r="U233" s="23" t="n">
        <x:f>IFERROR(H233/T233,0)</x:f>
        <x:v>0</x:v>
      </x:c>
      <x:c r="V233" s="20"/>
    </x:row>
    <x:row r="234">
      <x:c r="A234" s="20"/>
      <x:c r="B234" s="20"/>
      <x:c r="C234" s="21"/>
      <x:c r="D234" s="20"/>
      <x:c r="E234" s="20"/>
      <x:c r="F234" s="20"/>
      <x:c r="G234" s="22"/>
      <x:c r="H234" s="22"/>
      <x:c r="I234" s="22"/>
      <x:c r="J234" s="23"/>
      <x:c r="K234" s="20"/>
      <x:c r="L234" s="20"/>
      <x:c r="M234" s="21"/>
      <x:c r="N234" s="20"/>
      <x:c r="O234" s="24" t="str">
        <x:f>IF(C234="","",MAX(0,TODAY()-C234))</x:f>
      </x:c>
      <x:c r="P234" s="22" t="str">
        <x:f>IF(OR(G234="",J234=""),"",G234*J234)</x:f>
      </x:c>
      <x:c r="Q234" s="20"/>
      <x:c r="R234" s="20"/>
      <x:c r="S234" s="20"/>
      <x:c r="T234" s="22" t="str">
        <x:f>IF(K234="","",IFERROR(VLOOKUP(K234,Listas!$G$2:$J$8,4,FALSE),0))</x:f>
      </x:c>
      <x:c r="U234" s="23" t="n">
        <x:f>IFERROR(H234/T234,0)</x:f>
        <x:v>0</x:v>
      </x:c>
      <x:c r="V234" s="20"/>
    </x:row>
    <x:row r="235">
      <x:c r="A235" s="20"/>
      <x:c r="B235" s="20"/>
      <x:c r="C235" s="21"/>
      <x:c r="D235" s="20"/>
      <x:c r="E235" s="20"/>
      <x:c r="F235" s="20"/>
      <x:c r="G235" s="22"/>
      <x:c r="H235" s="22"/>
      <x:c r="I235" s="22"/>
      <x:c r="J235" s="23"/>
      <x:c r="K235" s="20"/>
      <x:c r="L235" s="20"/>
      <x:c r="M235" s="21"/>
      <x:c r="N235" s="20"/>
      <x:c r="O235" s="24" t="str">
        <x:f>IF(C235="","",MAX(0,TODAY()-C235))</x:f>
      </x:c>
      <x:c r="P235" s="22" t="str">
        <x:f>IF(OR(G235="",J235=""),"",G235*J235)</x:f>
      </x:c>
      <x:c r="Q235" s="20"/>
      <x:c r="R235" s="20"/>
      <x:c r="S235" s="20"/>
      <x:c r="T235" s="22" t="str">
        <x:f>IF(K235="","",IFERROR(VLOOKUP(K235,Listas!$G$2:$J$8,4,FALSE),0))</x:f>
      </x:c>
      <x:c r="U235" s="23" t="n">
        <x:f>IFERROR(H235/T235,0)</x:f>
        <x:v>0</x:v>
      </x:c>
      <x:c r="V235" s="20"/>
    </x:row>
    <x:row r="236">
      <x:c r="A236" s="20"/>
      <x:c r="B236" s="20"/>
      <x:c r="C236" s="21"/>
      <x:c r="D236" s="20"/>
      <x:c r="E236" s="20"/>
      <x:c r="F236" s="20"/>
      <x:c r="G236" s="22"/>
      <x:c r="H236" s="22"/>
      <x:c r="I236" s="22"/>
      <x:c r="J236" s="23"/>
      <x:c r="K236" s="20"/>
      <x:c r="L236" s="20"/>
      <x:c r="M236" s="21"/>
      <x:c r="N236" s="20"/>
      <x:c r="O236" s="24" t="str">
        <x:f>IF(C236="","",MAX(0,TODAY()-C236))</x:f>
      </x:c>
      <x:c r="P236" s="22" t="str">
        <x:f>IF(OR(G236="",J236=""),"",G236*J236)</x:f>
      </x:c>
      <x:c r="Q236" s="20"/>
      <x:c r="R236" s="20"/>
      <x:c r="S236" s="20"/>
      <x:c r="T236" s="22" t="str">
        <x:f>IF(K236="","",IFERROR(VLOOKUP(K236,Listas!$G$2:$J$8,4,FALSE),0))</x:f>
      </x:c>
      <x:c r="U236" s="23" t="n">
        <x:f>IFERROR(H236/T236,0)</x:f>
        <x:v>0</x:v>
      </x:c>
      <x:c r="V236" s="20"/>
    </x:row>
    <x:row r="237">
      <x:c r="A237" s="20"/>
      <x:c r="B237" s="20"/>
      <x:c r="C237" s="21"/>
      <x:c r="D237" s="20"/>
      <x:c r="E237" s="20"/>
      <x:c r="F237" s="20"/>
      <x:c r="G237" s="22"/>
      <x:c r="H237" s="22"/>
      <x:c r="I237" s="22"/>
      <x:c r="J237" s="23"/>
      <x:c r="K237" s="20"/>
      <x:c r="L237" s="20"/>
      <x:c r="M237" s="21"/>
      <x:c r="N237" s="20"/>
      <x:c r="O237" s="24" t="str">
        <x:f>IF(C237="","",MAX(0,TODAY()-C237))</x:f>
      </x:c>
      <x:c r="P237" s="22" t="str">
        <x:f>IF(OR(G237="",J237=""),"",G237*J237)</x:f>
      </x:c>
      <x:c r="Q237" s="20"/>
      <x:c r="R237" s="20"/>
      <x:c r="S237" s="20"/>
      <x:c r="T237" s="22" t="str">
        <x:f>IF(K237="","",IFERROR(VLOOKUP(K237,Listas!$G$2:$J$8,4,FALSE),0))</x:f>
      </x:c>
      <x:c r="U237" s="23" t="n">
        <x:f>IFERROR(H237/T237,0)</x:f>
        <x:v>0</x:v>
      </x:c>
      <x:c r="V237" s="20"/>
    </x:row>
    <x:row r="238">
      <x:c r="A238" s="20"/>
      <x:c r="B238" s="20"/>
      <x:c r="C238" s="21"/>
      <x:c r="D238" s="20"/>
      <x:c r="E238" s="20"/>
      <x:c r="F238" s="20"/>
      <x:c r="G238" s="22"/>
      <x:c r="H238" s="22"/>
      <x:c r="I238" s="22"/>
      <x:c r="J238" s="23"/>
      <x:c r="K238" s="20"/>
      <x:c r="L238" s="20"/>
      <x:c r="M238" s="21"/>
      <x:c r="N238" s="20"/>
      <x:c r="O238" s="24" t="str">
        <x:f>IF(C238="","",MAX(0,TODAY()-C238))</x:f>
      </x:c>
      <x:c r="P238" s="22" t="str">
        <x:f>IF(OR(G238="",J238=""),"",G238*J238)</x:f>
      </x:c>
      <x:c r="Q238" s="20"/>
      <x:c r="R238" s="20"/>
      <x:c r="S238" s="20"/>
      <x:c r="T238" s="22" t="str">
        <x:f>IF(K238="","",IFERROR(VLOOKUP(K238,Listas!$G$2:$J$8,4,FALSE),0))</x:f>
      </x:c>
      <x:c r="U238" s="23" t="n">
        <x:f>IFERROR(H238/T238,0)</x:f>
        <x:v>0</x:v>
      </x:c>
      <x:c r="V238" s="20"/>
    </x:row>
    <x:row r="239">
      <x:c r="A239" s="20"/>
      <x:c r="B239" s="20"/>
      <x:c r="C239" s="21"/>
      <x:c r="D239" s="20"/>
      <x:c r="E239" s="20"/>
      <x:c r="F239" s="20"/>
      <x:c r="G239" s="22"/>
      <x:c r="H239" s="22"/>
      <x:c r="I239" s="22"/>
      <x:c r="J239" s="23"/>
      <x:c r="K239" s="20"/>
      <x:c r="L239" s="20"/>
      <x:c r="M239" s="21"/>
      <x:c r="N239" s="20"/>
      <x:c r="O239" s="24" t="str">
        <x:f>IF(C239="","",MAX(0,TODAY()-C239))</x:f>
      </x:c>
      <x:c r="P239" s="22" t="str">
        <x:f>IF(OR(G239="",J239=""),"",G239*J239)</x:f>
      </x:c>
      <x:c r="Q239" s="20"/>
      <x:c r="R239" s="20"/>
      <x:c r="S239" s="20"/>
      <x:c r="T239" s="22" t="str">
        <x:f>IF(K239="","",IFERROR(VLOOKUP(K239,Listas!$G$2:$J$8,4,FALSE),0))</x:f>
      </x:c>
      <x:c r="U239" s="23" t="n">
        <x:f>IFERROR(H239/T239,0)</x:f>
        <x:v>0</x:v>
      </x:c>
      <x:c r="V239" s="20"/>
    </x:row>
    <x:row r="240">
      <x:c r="A240" s="20"/>
      <x:c r="B240" s="20"/>
      <x:c r="C240" s="21"/>
      <x:c r="D240" s="20"/>
      <x:c r="E240" s="20"/>
      <x:c r="F240" s="20"/>
      <x:c r="G240" s="22"/>
      <x:c r="H240" s="22"/>
      <x:c r="I240" s="22"/>
      <x:c r="J240" s="23"/>
      <x:c r="K240" s="20"/>
      <x:c r="L240" s="20"/>
      <x:c r="M240" s="21"/>
      <x:c r="N240" s="20"/>
      <x:c r="O240" s="24" t="str">
        <x:f>IF(C240="","",MAX(0,TODAY()-C240))</x:f>
      </x:c>
      <x:c r="P240" s="22" t="str">
        <x:f>IF(OR(G240="",J240=""),"",G240*J240)</x:f>
      </x:c>
      <x:c r="Q240" s="20"/>
      <x:c r="R240" s="20"/>
      <x:c r="S240" s="20"/>
      <x:c r="T240" s="22" t="str">
        <x:f>IF(K240="","",IFERROR(VLOOKUP(K240,Listas!$G$2:$J$8,4,FALSE),0))</x:f>
      </x:c>
      <x:c r="U240" s="23" t="n">
        <x:f>IFERROR(H240/T240,0)</x:f>
        <x:v>0</x:v>
      </x:c>
      <x:c r="V240" s="20"/>
    </x:row>
    <x:row r="241">
      <x:c r="A241" s="20"/>
      <x:c r="B241" s="20"/>
      <x:c r="C241" s="21"/>
      <x:c r="D241" s="20"/>
      <x:c r="E241" s="20"/>
      <x:c r="F241" s="20"/>
      <x:c r="G241" s="22"/>
      <x:c r="H241" s="22"/>
      <x:c r="I241" s="22"/>
      <x:c r="J241" s="23"/>
      <x:c r="K241" s="20"/>
      <x:c r="L241" s="20"/>
      <x:c r="M241" s="21"/>
      <x:c r="N241" s="20"/>
      <x:c r="O241" s="24" t="str">
        <x:f>IF(C241="","",MAX(0,TODAY()-C241))</x:f>
      </x:c>
      <x:c r="P241" s="22" t="str">
        <x:f>IF(OR(G241="",J241=""),"",G241*J241)</x:f>
      </x:c>
      <x:c r="Q241" s="20"/>
      <x:c r="R241" s="20"/>
      <x:c r="S241" s="20"/>
      <x:c r="T241" s="22" t="str">
        <x:f>IF(K241="","",IFERROR(VLOOKUP(K241,Listas!$G$2:$J$8,4,FALSE),0))</x:f>
      </x:c>
      <x:c r="U241" s="23" t="n">
        <x:f>IFERROR(H241/T241,0)</x:f>
        <x:v>0</x:v>
      </x:c>
      <x:c r="V241" s="20"/>
    </x:row>
    <x:row r="242">
      <x:c r="A242" s="20"/>
      <x:c r="B242" s="20"/>
      <x:c r="C242" s="21"/>
      <x:c r="D242" s="20"/>
      <x:c r="E242" s="20"/>
      <x:c r="F242" s="20"/>
      <x:c r="G242" s="22"/>
      <x:c r="H242" s="22"/>
      <x:c r="I242" s="22"/>
      <x:c r="J242" s="23"/>
      <x:c r="K242" s="20"/>
      <x:c r="L242" s="20"/>
      <x:c r="M242" s="21"/>
      <x:c r="N242" s="20"/>
      <x:c r="O242" s="24" t="str">
        <x:f>IF(C242="","",MAX(0,TODAY()-C242))</x:f>
      </x:c>
      <x:c r="P242" s="22" t="str">
        <x:f>IF(OR(G242="",J242=""),"",G242*J242)</x:f>
      </x:c>
      <x:c r="Q242" s="20"/>
      <x:c r="R242" s="20"/>
      <x:c r="S242" s="20"/>
      <x:c r="T242" s="22" t="str">
        <x:f>IF(K242="","",IFERROR(VLOOKUP(K242,Listas!$G$2:$J$8,4,FALSE),0))</x:f>
      </x:c>
      <x:c r="U242" s="23" t="n">
        <x:f>IFERROR(H242/T242,0)</x:f>
        <x:v>0</x:v>
      </x:c>
      <x:c r="V242" s="20"/>
    </x:row>
    <x:row r="243">
      <x:c r="A243" s="20"/>
      <x:c r="B243" s="20"/>
      <x:c r="C243" s="21"/>
      <x:c r="D243" s="20"/>
      <x:c r="E243" s="20"/>
      <x:c r="F243" s="20"/>
      <x:c r="G243" s="22"/>
      <x:c r="H243" s="22"/>
      <x:c r="I243" s="22"/>
      <x:c r="J243" s="23"/>
      <x:c r="K243" s="20"/>
      <x:c r="L243" s="20"/>
      <x:c r="M243" s="21"/>
      <x:c r="N243" s="20"/>
      <x:c r="O243" s="24" t="str">
        <x:f>IF(C243="","",MAX(0,TODAY()-C243))</x:f>
      </x:c>
      <x:c r="P243" s="22" t="str">
        <x:f>IF(OR(G243="",J243=""),"",G243*J243)</x:f>
      </x:c>
      <x:c r="Q243" s="20"/>
      <x:c r="R243" s="20"/>
      <x:c r="S243" s="20"/>
      <x:c r="T243" s="22" t="str">
        <x:f>IF(K243="","",IFERROR(VLOOKUP(K243,Listas!$G$2:$J$8,4,FALSE),0))</x:f>
      </x:c>
      <x:c r="U243" s="23" t="n">
        <x:f>IFERROR(H243/T243,0)</x:f>
        <x:v>0</x:v>
      </x:c>
      <x:c r="V243" s="20"/>
    </x:row>
    <x:row r="244">
      <x:c r="A244" s="20"/>
      <x:c r="B244" s="20"/>
      <x:c r="C244" s="21"/>
      <x:c r="D244" s="20"/>
      <x:c r="E244" s="20"/>
      <x:c r="F244" s="20"/>
      <x:c r="G244" s="22"/>
      <x:c r="H244" s="22"/>
      <x:c r="I244" s="22"/>
      <x:c r="J244" s="23"/>
      <x:c r="K244" s="20"/>
      <x:c r="L244" s="20"/>
      <x:c r="M244" s="21"/>
      <x:c r="N244" s="20"/>
      <x:c r="O244" s="24" t="str">
        <x:f>IF(C244="","",MAX(0,TODAY()-C244))</x:f>
      </x:c>
      <x:c r="P244" s="22" t="str">
        <x:f>IF(OR(G244="",J244=""),"",G244*J244)</x:f>
      </x:c>
      <x:c r="Q244" s="20"/>
      <x:c r="R244" s="20"/>
      <x:c r="S244" s="20"/>
      <x:c r="T244" s="22" t="str">
        <x:f>IF(K244="","",IFERROR(VLOOKUP(K244,Listas!$G$2:$J$8,4,FALSE),0))</x:f>
      </x:c>
      <x:c r="U244" s="23" t="n">
        <x:f>IFERROR(H244/T244,0)</x:f>
        <x:v>0</x:v>
      </x:c>
      <x:c r="V244" s="20"/>
    </x:row>
    <x:row r="245">
      <x:c r="A245" s="20"/>
      <x:c r="B245" s="20"/>
      <x:c r="C245" s="21"/>
      <x:c r="D245" s="20"/>
      <x:c r="E245" s="20"/>
      <x:c r="F245" s="20"/>
      <x:c r="G245" s="22"/>
      <x:c r="H245" s="22"/>
      <x:c r="I245" s="22"/>
      <x:c r="J245" s="23"/>
      <x:c r="K245" s="20"/>
      <x:c r="L245" s="20"/>
      <x:c r="M245" s="21"/>
      <x:c r="N245" s="20"/>
      <x:c r="O245" s="24" t="str">
        <x:f>IF(C245="","",MAX(0,TODAY()-C245))</x:f>
      </x:c>
      <x:c r="P245" s="22" t="str">
        <x:f>IF(OR(G245="",J245=""),"",G245*J245)</x:f>
      </x:c>
      <x:c r="Q245" s="20"/>
      <x:c r="R245" s="20"/>
      <x:c r="S245" s="20"/>
      <x:c r="T245" s="22" t="str">
        <x:f>IF(K245="","",IFERROR(VLOOKUP(K245,Listas!$G$2:$J$8,4,FALSE),0))</x:f>
      </x:c>
      <x:c r="U245" s="23" t="n">
        <x:f>IFERROR(H245/T245,0)</x:f>
        <x:v>0</x:v>
      </x:c>
      <x:c r="V245" s="20"/>
    </x:row>
    <x:row r="246">
      <x:c r="A246" s="20"/>
      <x:c r="B246" s="20"/>
      <x:c r="C246" s="21"/>
      <x:c r="D246" s="20"/>
      <x:c r="E246" s="20"/>
      <x:c r="F246" s="20"/>
      <x:c r="G246" s="22"/>
      <x:c r="H246" s="22"/>
      <x:c r="I246" s="22"/>
      <x:c r="J246" s="23"/>
      <x:c r="K246" s="20"/>
      <x:c r="L246" s="20"/>
      <x:c r="M246" s="21"/>
      <x:c r="N246" s="20"/>
      <x:c r="O246" s="24" t="str">
        <x:f>IF(C246="","",MAX(0,TODAY()-C246))</x:f>
      </x:c>
      <x:c r="P246" s="22" t="str">
        <x:f>IF(OR(G246="",J246=""),"",G246*J246)</x:f>
      </x:c>
      <x:c r="Q246" s="20"/>
      <x:c r="R246" s="20"/>
      <x:c r="S246" s="20"/>
      <x:c r="T246" s="22" t="str">
        <x:f>IF(K246="","",IFERROR(VLOOKUP(K246,Listas!$G$2:$J$8,4,FALSE),0))</x:f>
      </x:c>
      <x:c r="U246" s="23" t="n">
        <x:f>IFERROR(H246/T246,0)</x:f>
        <x:v>0</x:v>
      </x:c>
      <x:c r="V246" s="20"/>
    </x:row>
    <x:row r="247">
      <x:c r="A247" s="20"/>
      <x:c r="B247" s="20"/>
      <x:c r="C247" s="21"/>
      <x:c r="D247" s="20"/>
      <x:c r="E247" s="20"/>
      <x:c r="F247" s="20"/>
      <x:c r="G247" s="22"/>
      <x:c r="H247" s="22"/>
      <x:c r="I247" s="22"/>
      <x:c r="J247" s="23"/>
      <x:c r="K247" s="20"/>
      <x:c r="L247" s="20"/>
      <x:c r="M247" s="21"/>
      <x:c r="N247" s="20"/>
      <x:c r="O247" s="24" t="str">
        <x:f>IF(C247="","",MAX(0,TODAY()-C247))</x:f>
      </x:c>
      <x:c r="P247" s="22" t="str">
        <x:f>IF(OR(G247="",J247=""),"",G247*J247)</x:f>
      </x:c>
      <x:c r="Q247" s="20"/>
      <x:c r="R247" s="20"/>
      <x:c r="S247" s="20"/>
      <x:c r="T247" s="22" t="str">
        <x:f>IF(K247="","",IFERROR(VLOOKUP(K247,Listas!$G$2:$J$8,4,FALSE),0))</x:f>
      </x:c>
      <x:c r="U247" s="23" t="n">
        <x:f>IFERROR(H247/T247,0)</x:f>
        <x:v>0</x:v>
      </x:c>
      <x:c r="V247" s="20"/>
    </x:row>
    <x:row r="248">
      <x:c r="A248" s="20"/>
      <x:c r="B248" s="20"/>
      <x:c r="C248" s="21"/>
      <x:c r="D248" s="20"/>
      <x:c r="E248" s="20"/>
      <x:c r="F248" s="20"/>
      <x:c r="G248" s="22"/>
      <x:c r="H248" s="22"/>
      <x:c r="I248" s="22"/>
      <x:c r="J248" s="23"/>
      <x:c r="K248" s="20"/>
      <x:c r="L248" s="20"/>
      <x:c r="M248" s="21"/>
      <x:c r="N248" s="20"/>
      <x:c r="O248" s="24" t="str">
        <x:f>IF(C248="","",MAX(0,TODAY()-C248))</x:f>
      </x:c>
      <x:c r="P248" s="22" t="str">
        <x:f>IF(OR(G248="",J248=""),"",G248*J248)</x:f>
      </x:c>
      <x:c r="Q248" s="20"/>
      <x:c r="R248" s="20"/>
      <x:c r="S248" s="20"/>
      <x:c r="T248" s="22" t="str">
        <x:f>IF(K248="","",IFERROR(VLOOKUP(K248,Listas!$G$2:$J$8,4,FALSE),0))</x:f>
      </x:c>
      <x:c r="U248" s="23" t="n">
        <x:f>IFERROR(H248/T248,0)</x:f>
        <x:v>0</x:v>
      </x:c>
      <x:c r="V248" s="20"/>
    </x:row>
    <x:row r="249">
      <x:c r="A249" s="20"/>
      <x:c r="B249" s="20"/>
      <x:c r="C249" s="21"/>
      <x:c r="D249" s="20"/>
      <x:c r="E249" s="20"/>
      <x:c r="F249" s="20"/>
      <x:c r="G249" s="22"/>
      <x:c r="H249" s="22"/>
      <x:c r="I249" s="22"/>
      <x:c r="J249" s="23"/>
      <x:c r="K249" s="20"/>
      <x:c r="L249" s="20"/>
      <x:c r="M249" s="21"/>
      <x:c r="N249" s="20"/>
      <x:c r="O249" s="24" t="str">
        <x:f>IF(C249="","",MAX(0,TODAY()-C249))</x:f>
      </x:c>
      <x:c r="P249" s="22" t="str">
        <x:f>IF(OR(G249="",J249=""),"",G249*J249)</x:f>
      </x:c>
      <x:c r="Q249" s="20"/>
      <x:c r="R249" s="20"/>
      <x:c r="S249" s="20"/>
      <x:c r="T249" s="22" t="str">
        <x:f>IF(K249="","",IFERROR(VLOOKUP(K249,Listas!$G$2:$J$8,4,FALSE),0))</x:f>
      </x:c>
      <x:c r="U249" s="23" t="n">
        <x:f>IFERROR(H249/T249,0)</x:f>
        <x:v>0</x:v>
      </x:c>
      <x:c r="V249" s="20"/>
    </x:row>
    <x:row r="250">
      <x:c r="A250" s="20"/>
      <x:c r="B250" s="20"/>
      <x:c r="C250" s="21"/>
      <x:c r="D250" s="20"/>
      <x:c r="E250" s="20"/>
      <x:c r="F250" s="20"/>
      <x:c r="G250" s="22"/>
      <x:c r="H250" s="22"/>
      <x:c r="I250" s="22"/>
      <x:c r="J250" s="23"/>
      <x:c r="K250" s="20"/>
      <x:c r="L250" s="20"/>
      <x:c r="M250" s="21"/>
      <x:c r="N250" s="20"/>
      <x:c r="O250" s="24" t="str">
        <x:f>IF(C250="","",MAX(0,TODAY()-C250))</x:f>
      </x:c>
      <x:c r="P250" s="22" t="str">
        <x:f>IF(OR(G250="",J250=""),"",G250*J250)</x:f>
      </x:c>
      <x:c r="Q250" s="20"/>
      <x:c r="R250" s="20"/>
      <x:c r="S250" s="20"/>
      <x:c r="T250" s="22" t="str">
        <x:f>IF(K250="","",IFERROR(VLOOKUP(K250,Listas!$G$2:$J$8,4,FALSE),0))</x:f>
      </x:c>
      <x:c r="U250" s="23" t="n">
        <x:f>IFERROR(H250/T250,0)</x:f>
        <x:v>0</x:v>
      </x:c>
      <x:c r="V250" s="20"/>
    </x:row>
    <x:row r="251">
      <x:c r="A251" s="20"/>
      <x:c r="B251" s="20"/>
      <x:c r="C251" s="21"/>
      <x:c r="D251" s="20"/>
      <x:c r="E251" s="20"/>
      <x:c r="F251" s="20"/>
      <x:c r="G251" s="22"/>
      <x:c r="H251" s="22"/>
      <x:c r="I251" s="22"/>
      <x:c r="J251" s="23"/>
      <x:c r="K251" s="20"/>
      <x:c r="L251" s="20"/>
      <x:c r="M251" s="21"/>
      <x:c r="N251" s="20"/>
      <x:c r="O251" s="24" t="str">
        <x:f>IF(C251="","",MAX(0,TODAY()-C251))</x:f>
      </x:c>
      <x:c r="P251" s="22" t="str">
        <x:f>IF(OR(G251="",J251=""),"",G251*J251)</x:f>
      </x:c>
      <x:c r="Q251" s="20"/>
      <x:c r="R251" s="20"/>
      <x:c r="S251" s="20"/>
      <x:c r="T251" s="22" t="str">
        <x:f>IF(K251="","",IFERROR(VLOOKUP(K251,Listas!$G$2:$J$8,4,FALSE),0))</x:f>
      </x:c>
      <x:c r="U251" s="23" t="n">
        <x:f>IFERROR(H251/T251,0)</x:f>
        <x:v>0</x:v>
      </x:c>
      <x:c r="V251" s="20"/>
    </x:row>
    <x:row r="252">
      <x:c r="A252" s="20"/>
      <x:c r="B252" s="20"/>
      <x:c r="C252" s="21"/>
      <x:c r="D252" s="20"/>
      <x:c r="E252" s="20"/>
      <x:c r="F252" s="20"/>
      <x:c r="G252" s="22"/>
      <x:c r="H252" s="22"/>
      <x:c r="I252" s="22"/>
      <x:c r="J252" s="23"/>
      <x:c r="K252" s="20"/>
      <x:c r="L252" s="20"/>
      <x:c r="M252" s="21"/>
      <x:c r="N252" s="20"/>
      <x:c r="O252" s="24" t="str">
        <x:f>IF(C252="","",MAX(0,TODAY()-C252))</x:f>
      </x:c>
      <x:c r="P252" s="22" t="str">
        <x:f>IF(OR(G252="",J252=""),"",G252*J252)</x:f>
      </x:c>
      <x:c r="Q252" s="20"/>
      <x:c r="R252" s="20"/>
      <x:c r="S252" s="20"/>
      <x:c r="T252" s="22" t="str">
        <x:f>IF(K252="","",IFERROR(VLOOKUP(K252,Listas!$G$2:$J$8,4,FALSE),0))</x:f>
      </x:c>
      <x:c r="U252" s="23" t="n">
        <x:f>IFERROR(H252/T252,0)</x:f>
        <x:v>0</x:v>
      </x:c>
      <x:c r="V252" s="20"/>
    </x:row>
    <x:row r="253">
      <x:c r="A253" s="20"/>
      <x:c r="B253" s="20"/>
      <x:c r="C253" s="21"/>
      <x:c r="D253" s="20"/>
      <x:c r="E253" s="20"/>
      <x:c r="F253" s="20"/>
      <x:c r="G253" s="22"/>
      <x:c r="H253" s="22"/>
      <x:c r="I253" s="22"/>
      <x:c r="J253" s="23"/>
      <x:c r="K253" s="20"/>
      <x:c r="L253" s="20"/>
      <x:c r="M253" s="21"/>
      <x:c r="N253" s="20"/>
      <x:c r="O253" s="24" t="str">
        <x:f>IF(C253="","",MAX(0,TODAY()-C253))</x:f>
      </x:c>
      <x:c r="P253" s="22" t="str">
        <x:f>IF(OR(G253="",J253=""),"",G253*J253)</x:f>
      </x:c>
      <x:c r="Q253" s="20"/>
      <x:c r="R253" s="20"/>
      <x:c r="S253" s="20"/>
      <x:c r="T253" s="22" t="str">
        <x:f>IF(K253="","",IFERROR(VLOOKUP(K253,Listas!$G$2:$J$8,4,FALSE),0))</x:f>
      </x:c>
      <x:c r="U253" s="23" t="n">
        <x:f>IFERROR(H253/T253,0)</x:f>
        <x:v>0</x:v>
      </x:c>
      <x:c r="V253" s="20"/>
    </x:row>
    <x:row r="254">
      <x:c r="A254" s="20"/>
      <x:c r="B254" s="20"/>
      <x:c r="C254" s="21"/>
      <x:c r="D254" s="20"/>
      <x:c r="E254" s="20"/>
      <x:c r="F254" s="20"/>
      <x:c r="G254" s="22"/>
      <x:c r="H254" s="22"/>
      <x:c r="I254" s="22"/>
      <x:c r="J254" s="23"/>
      <x:c r="K254" s="20"/>
      <x:c r="L254" s="20"/>
      <x:c r="M254" s="21"/>
      <x:c r="N254" s="20"/>
      <x:c r="O254" s="24" t="str">
        <x:f>IF(C254="","",MAX(0,TODAY()-C254))</x:f>
      </x:c>
      <x:c r="P254" s="22" t="str">
        <x:f>IF(OR(G254="",J254=""),"",G254*J254)</x:f>
      </x:c>
      <x:c r="Q254" s="20"/>
      <x:c r="R254" s="20"/>
      <x:c r="S254" s="20"/>
      <x:c r="T254" s="22" t="str">
        <x:f>IF(K254="","",IFERROR(VLOOKUP(K254,Listas!$G$2:$J$8,4,FALSE),0))</x:f>
      </x:c>
      <x:c r="U254" s="23" t="n">
        <x:f>IFERROR(H254/T254,0)</x:f>
        <x:v>0</x:v>
      </x:c>
      <x:c r="V254" s="20"/>
    </x:row>
    <x:row r="255">
      <x:c r="A255" s="20"/>
      <x:c r="B255" s="20"/>
      <x:c r="C255" s="21"/>
      <x:c r="D255" s="20"/>
      <x:c r="E255" s="20"/>
      <x:c r="F255" s="20"/>
      <x:c r="G255" s="22"/>
      <x:c r="H255" s="22"/>
      <x:c r="I255" s="22"/>
      <x:c r="J255" s="23"/>
      <x:c r="K255" s="20"/>
      <x:c r="L255" s="20"/>
      <x:c r="M255" s="21"/>
      <x:c r="N255" s="20"/>
      <x:c r="O255" s="24" t="str">
        <x:f>IF(C255="","",MAX(0,TODAY()-C255))</x:f>
      </x:c>
      <x:c r="P255" s="22" t="str">
        <x:f>IF(OR(G255="",J255=""),"",G255*J255)</x:f>
      </x:c>
      <x:c r="Q255" s="20"/>
      <x:c r="R255" s="20"/>
      <x:c r="S255" s="20"/>
      <x:c r="T255" s="22" t="str">
        <x:f>IF(K255="","",IFERROR(VLOOKUP(K255,Listas!$G$2:$J$8,4,FALSE),0))</x:f>
      </x:c>
      <x:c r="U255" s="23" t="n">
        <x:f>IFERROR(H255/T255,0)</x:f>
        <x:v>0</x:v>
      </x:c>
      <x:c r="V255" s="20"/>
    </x:row>
    <x:row r="256">
      <x:c r="A256" s="20"/>
      <x:c r="B256" s="20"/>
      <x:c r="C256" s="21"/>
      <x:c r="D256" s="20"/>
      <x:c r="E256" s="20"/>
      <x:c r="F256" s="20"/>
      <x:c r="G256" s="22"/>
      <x:c r="H256" s="22"/>
      <x:c r="I256" s="22"/>
      <x:c r="J256" s="23"/>
      <x:c r="K256" s="20"/>
      <x:c r="L256" s="20"/>
      <x:c r="M256" s="21"/>
      <x:c r="N256" s="20"/>
      <x:c r="O256" s="24" t="str">
        <x:f>IF(C256="","",MAX(0,TODAY()-C256))</x:f>
      </x:c>
      <x:c r="P256" s="22" t="str">
        <x:f>IF(OR(G256="",J256=""),"",G256*J256)</x:f>
      </x:c>
      <x:c r="Q256" s="20"/>
      <x:c r="R256" s="20"/>
      <x:c r="S256" s="20"/>
      <x:c r="T256" s="22" t="str">
        <x:f>IF(K256="","",IFERROR(VLOOKUP(K256,Listas!$G$2:$J$8,4,FALSE),0))</x:f>
      </x:c>
      <x:c r="U256" s="23" t="n">
        <x:f>IFERROR(H256/T256,0)</x:f>
        <x:v>0</x:v>
      </x:c>
      <x:c r="V256" s="20"/>
    </x:row>
    <x:row r="257">
      <x:c r="A257" s="20"/>
      <x:c r="B257" s="20"/>
      <x:c r="C257" s="21"/>
      <x:c r="D257" s="20"/>
      <x:c r="E257" s="20"/>
      <x:c r="F257" s="20"/>
      <x:c r="G257" s="22"/>
      <x:c r="H257" s="22"/>
      <x:c r="I257" s="22"/>
      <x:c r="J257" s="23"/>
      <x:c r="K257" s="20"/>
      <x:c r="L257" s="20"/>
      <x:c r="M257" s="21"/>
      <x:c r="N257" s="20"/>
      <x:c r="O257" s="24" t="str">
        <x:f>IF(C257="","",MAX(0,TODAY()-C257))</x:f>
      </x:c>
      <x:c r="P257" s="22" t="str">
        <x:f>IF(OR(G257="",J257=""),"",G257*J257)</x:f>
      </x:c>
      <x:c r="Q257" s="20"/>
      <x:c r="R257" s="20"/>
      <x:c r="S257" s="20"/>
      <x:c r="T257" s="22" t="str">
        <x:f>IF(K257="","",IFERROR(VLOOKUP(K257,Listas!$G$2:$J$8,4,FALSE),0))</x:f>
      </x:c>
      <x:c r="U257" s="23" t="n">
        <x:f>IFERROR(H257/T257,0)</x:f>
        <x:v>0</x:v>
      </x:c>
      <x:c r="V257" s="20"/>
    </x:row>
    <x:row r="258">
      <x:c r="A258" s="20"/>
      <x:c r="B258" s="20"/>
      <x:c r="C258" s="21"/>
      <x:c r="D258" s="20"/>
      <x:c r="E258" s="20"/>
      <x:c r="F258" s="20"/>
      <x:c r="G258" s="22"/>
      <x:c r="H258" s="22"/>
      <x:c r="I258" s="22"/>
      <x:c r="J258" s="23"/>
      <x:c r="K258" s="20"/>
      <x:c r="L258" s="20"/>
      <x:c r="M258" s="21"/>
      <x:c r="N258" s="20"/>
      <x:c r="O258" s="24" t="str">
        <x:f>IF(C258="","",MAX(0,TODAY()-C258))</x:f>
      </x:c>
      <x:c r="P258" s="22" t="str">
        <x:f>IF(OR(G258="",J258=""),"",G258*J258)</x:f>
      </x:c>
      <x:c r="Q258" s="20"/>
      <x:c r="R258" s="20"/>
      <x:c r="S258" s="20"/>
      <x:c r="T258" s="22" t="str">
        <x:f>IF(K258="","",IFERROR(VLOOKUP(K258,Listas!$G$2:$J$8,4,FALSE),0))</x:f>
      </x:c>
      <x:c r="U258" s="23" t="n">
        <x:f>IFERROR(H258/T258,0)</x:f>
        <x:v>0</x:v>
      </x:c>
      <x:c r="V258" s="20"/>
    </x:row>
    <x:row r="259">
      <x:c r="A259" s="20"/>
      <x:c r="B259" s="20"/>
      <x:c r="C259" s="21"/>
      <x:c r="D259" s="20"/>
      <x:c r="E259" s="20"/>
      <x:c r="F259" s="20"/>
      <x:c r="G259" s="22"/>
      <x:c r="H259" s="22"/>
      <x:c r="I259" s="22"/>
      <x:c r="J259" s="23"/>
      <x:c r="K259" s="20"/>
      <x:c r="L259" s="20"/>
      <x:c r="M259" s="21"/>
      <x:c r="N259" s="20"/>
      <x:c r="O259" s="24" t="str">
        <x:f>IF(C259="","",MAX(0,TODAY()-C259))</x:f>
      </x:c>
      <x:c r="P259" s="22" t="str">
        <x:f>IF(OR(G259="",J259=""),"",G259*J259)</x:f>
      </x:c>
      <x:c r="Q259" s="20"/>
      <x:c r="R259" s="20"/>
      <x:c r="S259" s="20"/>
      <x:c r="T259" s="22" t="str">
        <x:f>IF(K259="","",IFERROR(VLOOKUP(K259,Listas!$G$2:$J$8,4,FALSE),0))</x:f>
      </x:c>
      <x:c r="U259" s="23" t="n">
        <x:f>IFERROR(H259/T259,0)</x:f>
        <x:v>0</x:v>
      </x:c>
      <x:c r="V259" s="20"/>
    </x:row>
    <x:row r="260">
      <x:c r="A260" s="20"/>
      <x:c r="B260" s="20"/>
      <x:c r="C260" s="21"/>
      <x:c r="D260" s="20"/>
      <x:c r="E260" s="20"/>
      <x:c r="F260" s="20"/>
      <x:c r="G260" s="22"/>
      <x:c r="H260" s="22"/>
      <x:c r="I260" s="22"/>
      <x:c r="J260" s="23"/>
      <x:c r="K260" s="20"/>
      <x:c r="L260" s="20"/>
      <x:c r="M260" s="21"/>
      <x:c r="N260" s="20"/>
      <x:c r="O260" s="24" t="str">
        <x:f>IF(C260="","",MAX(0,TODAY()-C260))</x:f>
      </x:c>
      <x:c r="P260" s="22" t="str">
        <x:f>IF(OR(G260="",J260=""),"",G260*J260)</x:f>
      </x:c>
      <x:c r="Q260" s="20"/>
      <x:c r="R260" s="20"/>
      <x:c r="S260" s="20"/>
      <x:c r="T260" s="22" t="str">
        <x:f>IF(K260="","",IFERROR(VLOOKUP(K260,Listas!$G$2:$J$8,4,FALSE),0))</x:f>
      </x:c>
      <x:c r="U260" s="23" t="n">
        <x:f>IFERROR(H260/T260,0)</x:f>
        <x:v>0</x:v>
      </x:c>
      <x:c r="V260" s="20"/>
    </x:row>
    <x:row r="261">
      <x:c r="A261" s="20"/>
      <x:c r="B261" s="20"/>
      <x:c r="C261" s="21"/>
      <x:c r="D261" s="20"/>
      <x:c r="E261" s="20"/>
      <x:c r="F261" s="20"/>
      <x:c r="G261" s="22"/>
      <x:c r="H261" s="22"/>
      <x:c r="I261" s="22"/>
      <x:c r="J261" s="23"/>
      <x:c r="K261" s="20"/>
      <x:c r="L261" s="20"/>
      <x:c r="M261" s="21"/>
      <x:c r="N261" s="20"/>
      <x:c r="O261" s="24" t="str">
        <x:f>IF(C261="","",MAX(0,TODAY()-C261))</x:f>
      </x:c>
      <x:c r="P261" s="22" t="str">
        <x:f>IF(OR(G261="",J261=""),"",G261*J261)</x:f>
      </x:c>
      <x:c r="Q261" s="20"/>
      <x:c r="R261" s="20"/>
      <x:c r="S261" s="20"/>
      <x:c r="T261" s="22" t="str">
        <x:f>IF(K261="","",IFERROR(VLOOKUP(K261,Listas!$G$2:$J$8,4,FALSE),0))</x:f>
      </x:c>
      <x:c r="U261" s="23" t="n">
        <x:f>IFERROR(H261/T261,0)</x:f>
        <x:v>0</x:v>
      </x:c>
      <x:c r="V261" s="20"/>
    </x:row>
    <x:row r="262">
      <x:c r="A262" s="20"/>
      <x:c r="B262" s="20"/>
      <x:c r="C262" s="21"/>
      <x:c r="D262" s="20"/>
      <x:c r="E262" s="20"/>
      <x:c r="F262" s="20"/>
      <x:c r="G262" s="22"/>
      <x:c r="H262" s="22"/>
      <x:c r="I262" s="22"/>
      <x:c r="J262" s="23"/>
      <x:c r="K262" s="20"/>
      <x:c r="L262" s="20"/>
      <x:c r="M262" s="21"/>
      <x:c r="N262" s="20"/>
      <x:c r="O262" s="24" t="str">
        <x:f>IF(C262="","",MAX(0,TODAY()-C262))</x:f>
      </x:c>
      <x:c r="P262" s="22" t="str">
        <x:f>IF(OR(G262="",J262=""),"",G262*J262)</x:f>
      </x:c>
      <x:c r="Q262" s="20"/>
      <x:c r="R262" s="20"/>
      <x:c r="S262" s="20"/>
      <x:c r="T262" s="22" t="str">
        <x:f>IF(K262="","",IFERROR(VLOOKUP(K262,Listas!$G$2:$J$8,4,FALSE),0))</x:f>
      </x:c>
      <x:c r="U262" s="23" t="n">
        <x:f>IFERROR(H262/T262,0)</x:f>
        <x:v>0</x:v>
      </x:c>
      <x:c r="V262" s="20"/>
    </x:row>
    <x:row r="263">
      <x:c r="A263" s="20"/>
      <x:c r="B263" s="20"/>
      <x:c r="C263" s="21"/>
      <x:c r="D263" s="20"/>
      <x:c r="E263" s="20"/>
      <x:c r="F263" s="20"/>
      <x:c r="G263" s="22"/>
      <x:c r="H263" s="22"/>
      <x:c r="I263" s="22"/>
      <x:c r="J263" s="23"/>
      <x:c r="K263" s="20"/>
      <x:c r="L263" s="20"/>
      <x:c r="M263" s="21"/>
      <x:c r="N263" s="20"/>
      <x:c r="O263" s="24" t="str">
        <x:f>IF(C263="","",MAX(0,TODAY()-C263))</x:f>
      </x:c>
      <x:c r="P263" s="22" t="str">
        <x:f>IF(OR(G263="",J263=""),"",G263*J263)</x:f>
      </x:c>
      <x:c r="Q263" s="20"/>
      <x:c r="R263" s="20"/>
      <x:c r="S263" s="20"/>
      <x:c r="T263" s="22" t="str">
        <x:f>IF(K263="","",IFERROR(VLOOKUP(K263,Listas!$G$2:$J$8,4,FALSE),0))</x:f>
      </x:c>
      <x:c r="U263" s="23" t="n">
        <x:f>IFERROR(H263/T263,0)</x:f>
        <x:v>0</x:v>
      </x:c>
      <x:c r="V263" s="20"/>
    </x:row>
    <x:row r="264">
      <x:c r="A264" s="20"/>
      <x:c r="B264" s="20"/>
      <x:c r="C264" s="21"/>
      <x:c r="D264" s="20"/>
      <x:c r="E264" s="20"/>
      <x:c r="F264" s="20"/>
      <x:c r="G264" s="22"/>
      <x:c r="H264" s="22"/>
      <x:c r="I264" s="22"/>
      <x:c r="J264" s="23"/>
      <x:c r="K264" s="20"/>
      <x:c r="L264" s="20"/>
      <x:c r="M264" s="21"/>
      <x:c r="N264" s="20"/>
      <x:c r="O264" s="24" t="str">
        <x:f>IF(C264="","",MAX(0,TODAY()-C264))</x:f>
      </x:c>
      <x:c r="P264" s="22" t="str">
        <x:f>IF(OR(G264="",J264=""),"",G264*J264)</x:f>
      </x:c>
      <x:c r="Q264" s="20"/>
      <x:c r="R264" s="20"/>
      <x:c r="S264" s="20"/>
      <x:c r="T264" s="22" t="str">
        <x:f>IF(K264="","",IFERROR(VLOOKUP(K264,Listas!$G$2:$J$8,4,FALSE),0))</x:f>
      </x:c>
      <x:c r="U264" s="23" t="n">
        <x:f>IFERROR(H264/T264,0)</x:f>
        <x:v>0</x:v>
      </x:c>
      <x:c r="V264" s="20"/>
    </x:row>
    <x:row r="265">
      <x:c r="A265" s="20"/>
      <x:c r="B265" s="20"/>
      <x:c r="C265" s="21"/>
      <x:c r="D265" s="20"/>
      <x:c r="E265" s="20"/>
      <x:c r="F265" s="20"/>
      <x:c r="G265" s="22"/>
      <x:c r="H265" s="22"/>
      <x:c r="I265" s="22"/>
      <x:c r="J265" s="23"/>
      <x:c r="K265" s="20"/>
      <x:c r="L265" s="20"/>
      <x:c r="M265" s="21"/>
      <x:c r="N265" s="20"/>
      <x:c r="O265" s="24" t="str">
        <x:f>IF(C265="","",MAX(0,TODAY()-C265))</x:f>
      </x:c>
      <x:c r="P265" s="22" t="str">
        <x:f>IF(OR(G265="",J265=""),"",G265*J265)</x:f>
      </x:c>
      <x:c r="Q265" s="20"/>
      <x:c r="R265" s="20"/>
      <x:c r="S265" s="20"/>
      <x:c r="T265" s="22" t="str">
        <x:f>IF(K265="","",IFERROR(VLOOKUP(K265,Listas!$G$2:$J$8,4,FALSE),0))</x:f>
      </x:c>
      <x:c r="U265" s="23" t="n">
        <x:f>IFERROR(H265/T265,0)</x:f>
        <x:v>0</x:v>
      </x:c>
      <x:c r="V265" s="20"/>
    </x:row>
    <x:row r="266">
      <x:c r="A266" s="20"/>
      <x:c r="B266" s="20"/>
      <x:c r="C266" s="21"/>
      <x:c r="D266" s="20"/>
      <x:c r="E266" s="20"/>
      <x:c r="F266" s="20"/>
      <x:c r="G266" s="22"/>
      <x:c r="H266" s="22"/>
      <x:c r="I266" s="22"/>
      <x:c r="J266" s="23"/>
      <x:c r="K266" s="20"/>
      <x:c r="L266" s="20"/>
      <x:c r="M266" s="21"/>
      <x:c r="N266" s="20"/>
      <x:c r="O266" s="24" t="str">
        <x:f>IF(C266="","",MAX(0,TODAY()-C266))</x:f>
      </x:c>
      <x:c r="P266" s="22" t="str">
        <x:f>IF(OR(G266="",J266=""),"",G266*J266)</x:f>
      </x:c>
      <x:c r="Q266" s="20"/>
      <x:c r="R266" s="20"/>
      <x:c r="S266" s="20"/>
      <x:c r="T266" s="22" t="str">
        <x:f>IF(K266="","",IFERROR(VLOOKUP(K266,Listas!$G$2:$J$8,4,FALSE),0))</x:f>
      </x:c>
      <x:c r="U266" s="23" t="n">
        <x:f>IFERROR(H266/T266,0)</x:f>
        <x:v>0</x:v>
      </x:c>
      <x:c r="V266" s="20"/>
    </x:row>
    <x:row r="267">
      <x:c r="A267" s="20"/>
      <x:c r="B267" s="20"/>
      <x:c r="C267" s="21"/>
      <x:c r="D267" s="20"/>
      <x:c r="E267" s="20"/>
      <x:c r="F267" s="20"/>
      <x:c r="G267" s="22"/>
      <x:c r="H267" s="22"/>
      <x:c r="I267" s="22"/>
      <x:c r="J267" s="23"/>
      <x:c r="K267" s="20"/>
      <x:c r="L267" s="20"/>
      <x:c r="M267" s="21"/>
      <x:c r="N267" s="20"/>
      <x:c r="O267" s="24" t="str">
        <x:f>IF(C267="","",MAX(0,TODAY()-C267))</x:f>
      </x:c>
      <x:c r="P267" s="22" t="str">
        <x:f>IF(OR(G267="",J267=""),"",G267*J267)</x:f>
      </x:c>
      <x:c r="Q267" s="20"/>
      <x:c r="R267" s="20"/>
      <x:c r="S267" s="20"/>
      <x:c r="T267" s="22" t="str">
        <x:f>IF(K267="","",IFERROR(VLOOKUP(K267,Listas!$G$2:$J$8,4,FALSE),0))</x:f>
      </x:c>
      <x:c r="U267" s="23" t="n">
        <x:f>IFERROR(H267/T267,0)</x:f>
        <x:v>0</x:v>
      </x:c>
      <x:c r="V267" s="20"/>
    </x:row>
    <x:row r="268">
      <x:c r="A268" s="20"/>
      <x:c r="B268" s="20"/>
      <x:c r="C268" s="21"/>
      <x:c r="D268" s="20"/>
      <x:c r="E268" s="20"/>
      <x:c r="F268" s="20"/>
      <x:c r="G268" s="22"/>
      <x:c r="H268" s="22"/>
      <x:c r="I268" s="22"/>
      <x:c r="J268" s="23"/>
      <x:c r="K268" s="20"/>
      <x:c r="L268" s="20"/>
      <x:c r="M268" s="21"/>
      <x:c r="N268" s="20"/>
      <x:c r="O268" s="24" t="str">
        <x:f>IF(C268="","",MAX(0,TODAY()-C268))</x:f>
      </x:c>
      <x:c r="P268" s="22" t="str">
        <x:f>IF(OR(G268="",J268=""),"",G268*J268)</x:f>
      </x:c>
      <x:c r="Q268" s="20"/>
      <x:c r="R268" s="20"/>
      <x:c r="S268" s="20"/>
      <x:c r="T268" s="22" t="str">
        <x:f>IF(K268="","",IFERROR(VLOOKUP(K268,Listas!$G$2:$J$8,4,FALSE),0))</x:f>
      </x:c>
      <x:c r="U268" s="23" t="n">
        <x:f>IFERROR(H268/T268,0)</x:f>
        <x:v>0</x:v>
      </x:c>
      <x:c r="V268" s="20"/>
    </x:row>
    <x:row r="269">
      <x:c r="A269" s="20"/>
      <x:c r="B269" s="20"/>
      <x:c r="C269" s="21"/>
      <x:c r="D269" s="20"/>
      <x:c r="E269" s="20"/>
      <x:c r="F269" s="20"/>
      <x:c r="G269" s="22"/>
      <x:c r="H269" s="22"/>
      <x:c r="I269" s="22"/>
      <x:c r="J269" s="23"/>
      <x:c r="K269" s="20"/>
      <x:c r="L269" s="20"/>
      <x:c r="M269" s="21"/>
      <x:c r="N269" s="20"/>
      <x:c r="O269" s="24" t="str">
        <x:f>IF(C269="","",MAX(0,TODAY()-C269))</x:f>
      </x:c>
      <x:c r="P269" s="22" t="str">
        <x:f>IF(OR(G269="",J269=""),"",G269*J269)</x:f>
      </x:c>
      <x:c r="Q269" s="20"/>
      <x:c r="R269" s="20"/>
      <x:c r="S269" s="20"/>
      <x:c r="T269" s="22" t="str">
        <x:f>IF(K269="","",IFERROR(VLOOKUP(K269,Listas!$G$2:$J$8,4,FALSE),0))</x:f>
      </x:c>
      <x:c r="U269" s="23" t="n">
        <x:f>IFERROR(H269/T269,0)</x:f>
        <x:v>0</x:v>
      </x:c>
      <x:c r="V269" s="20"/>
    </x:row>
    <x:row r="270">
      <x:c r="A270" s="20"/>
      <x:c r="B270" s="20"/>
      <x:c r="C270" s="21"/>
      <x:c r="D270" s="20"/>
      <x:c r="E270" s="20"/>
      <x:c r="F270" s="20"/>
      <x:c r="G270" s="22"/>
      <x:c r="H270" s="22"/>
      <x:c r="I270" s="22"/>
      <x:c r="J270" s="23"/>
      <x:c r="K270" s="20"/>
      <x:c r="L270" s="20"/>
      <x:c r="M270" s="21"/>
      <x:c r="N270" s="20"/>
      <x:c r="O270" s="24" t="str">
        <x:f>IF(C270="","",MAX(0,TODAY()-C270))</x:f>
      </x:c>
      <x:c r="P270" s="22" t="str">
        <x:f>IF(OR(G270="",J270=""),"",G270*J270)</x:f>
      </x:c>
      <x:c r="Q270" s="20"/>
      <x:c r="R270" s="20"/>
      <x:c r="S270" s="20"/>
      <x:c r="T270" s="22" t="str">
        <x:f>IF(K270="","",IFERROR(VLOOKUP(K270,Listas!$G$2:$J$8,4,FALSE),0))</x:f>
      </x:c>
      <x:c r="U270" s="23" t="n">
        <x:f>IFERROR(H270/T270,0)</x:f>
        <x:v>0</x:v>
      </x:c>
      <x:c r="V270" s="20"/>
    </x:row>
    <x:row r="271">
      <x:c r="A271" s="20"/>
      <x:c r="B271" s="20"/>
      <x:c r="C271" s="21"/>
      <x:c r="D271" s="20"/>
      <x:c r="E271" s="20"/>
      <x:c r="F271" s="20"/>
      <x:c r="G271" s="22"/>
      <x:c r="H271" s="22"/>
      <x:c r="I271" s="22"/>
      <x:c r="J271" s="23"/>
      <x:c r="K271" s="20"/>
      <x:c r="L271" s="20"/>
      <x:c r="M271" s="21"/>
      <x:c r="N271" s="20"/>
      <x:c r="O271" s="24" t="str">
        <x:f>IF(C271="","",MAX(0,TODAY()-C271))</x:f>
      </x:c>
      <x:c r="P271" s="22" t="str">
        <x:f>IF(OR(G271="",J271=""),"",G271*J271)</x:f>
      </x:c>
      <x:c r="Q271" s="20"/>
      <x:c r="R271" s="20"/>
      <x:c r="S271" s="20"/>
      <x:c r="T271" s="22" t="str">
        <x:f>IF(K271="","",IFERROR(VLOOKUP(K271,Listas!$G$2:$J$8,4,FALSE),0))</x:f>
      </x:c>
      <x:c r="U271" s="23" t="n">
        <x:f>IFERROR(H271/T271,0)</x:f>
        <x:v>0</x:v>
      </x:c>
      <x:c r="V271" s="20"/>
    </x:row>
    <x:row r="272">
      <x:c r="A272" s="20"/>
      <x:c r="B272" s="20"/>
      <x:c r="C272" s="21"/>
      <x:c r="D272" s="20"/>
      <x:c r="E272" s="20"/>
      <x:c r="F272" s="20"/>
      <x:c r="G272" s="22"/>
      <x:c r="H272" s="22"/>
      <x:c r="I272" s="22"/>
      <x:c r="J272" s="23"/>
      <x:c r="K272" s="20"/>
      <x:c r="L272" s="20"/>
      <x:c r="M272" s="21"/>
      <x:c r="N272" s="20"/>
      <x:c r="O272" s="24" t="str">
        <x:f>IF(C272="","",MAX(0,TODAY()-C272))</x:f>
      </x:c>
      <x:c r="P272" s="22" t="str">
        <x:f>IF(OR(G272="",J272=""),"",G272*J272)</x:f>
      </x:c>
      <x:c r="Q272" s="20"/>
      <x:c r="R272" s="20"/>
      <x:c r="S272" s="20"/>
      <x:c r="T272" s="22" t="str">
        <x:f>IF(K272="","",IFERROR(VLOOKUP(K272,Listas!$G$2:$J$8,4,FALSE),0))</x:f>
      </x:c>
      <x:c r="U272" s="23" t="n">
        <x:f>IFERROR(H272/T272,0)</x:f>
        <x:v>0</x:v>
      </x:c>
      <x:c r="V272" s="20"/>
    </x:row>
    <x:row r="273">
      <x:c r="A273" s="20"/>
      <x:c r="B273" s="20"/>
      <x:c r="C273" s="21"/>
      <x:c r="D273" s="20"/>
      <x:c r="E273" s="20"/>
      <x:c r="F273" s="20"/>
      <x:c r="G273" s="22"/>
      <x:c r="H273" s="22"/>
      <x:c r="I273" s="22"/>
      <x:c r="J273" s="23"/>
      <x:c r="K273" s="20"/>
      <x:c r="L273" s="20"/>
      <x:c r="M273" s="21"/>
      <x:c r="N273" s="20"/>
      <x:c r="O273" s="24" t="str">
        <x:f>IF(C273="","",MAX(0,TODAY()-C273))</x:f>
      </x:c>
      <x:c r="P273" s="22" t="str">
        <x:f>IF(OR(G273="",J273=""),"",G273*J273)</x:f>
      </x:c>
      <x:c r="Q273" s="20"/>
      <x:c r="R273" s="20"/>
      <x:c r="S273" s="20"/>
      <x:c r="T273" s="22" t="str">
        <x:f>IF(K273="","",IFERROR(VLOOKUP(K273,Listas!$G$2:$J$8,4,FALSE),0))</x:f>
      </x:c>
      <x:c r="U273" s="23" t="n">
        <x:f>IFERROR(H273/T273,0)</x:f>
        <x:v>0</x:v>
      </x:c>
      <x:c r="V273" s="20"/>
    </x:row>
    <x:row r="274">
      <x:c r="A274" s="20"/>
      <x:c r="B274" s="20"/>
      <x:c r="C274" s="21"/>
      <x:c r="D274" s="20"/>
      <x:c r="E274" s="20"/>
      <x:c r="F274" s="20"/>
      <x:c r="G274" s="22"/>
      <x:c r="H274" s="22"/>
      <x:c r="I274" s="22"/>
      <x:c r="J274" s="23"/>
      <x:c r="K274" s="20"/>
      <x:c r="L274" s="20"/>
      <x:c r="M274" s="21"/>
      <x:c r="N274" s="20"/>
      <x:c r="O274" s="24" t="str">
        <x:f>IF(C274="","",MAX(0,TODAY()-C274))</x:f>
      </x:c>
      <x:c r="P274" s="22" t="str">
        <x:f>IF(OR(G274="",J274=""),"",G274*J274)</x:f>
      </x:c>
      <x:c r="Q274" s="20"/>
      <x:c r="R274" s="20"/>
      <x:c r="S274" s="20"/>
      <x:c r="T274" s="22" t="str">
        <x:f>IF(K274="","",IFERROR(VLOOKUP(K274,Listas!$G$2:$J$8,4,FALSE),0))</x:f>
      </x:c>
      <x:c r="U274" s="23" t="n">
        <x:f>IFERROR(H274/T274,0)</x:f>
        <x:v>0</x:v>
      </x:c>
      <x:c r="V274" s="20"/>
    </x:row>
    <x:row r="275">
      <x:c r="A275" s="20"/>
      <x:c r="B275" s="20"/>
      <x:c r="C275" s="21"/>
      <x:c r="D275" s="20"/>
      <x:c r="E275" s="20"/>
      <x:c r="F275" s="20"/>
      <x:c r="G275" s="22"/>
      <x:c r="H275" s="22"/>
      <x:c r="I275" s="22"/>
      <x:c r="J275" s="23"/>
      <x:c r="K275" s="20"/>
      <x:c r="L275" s="20"/>
      <x:c r="M275" s="21"/>
      <x:c r="N275" s="20"/>
      <x:c r="O275" s="24" t="str">
        <x:f>IF(C275="","",MAX(0,TODAY()-C275))</x:f>
      </x:c>
      <x:c r="P275" s="22" t="str">
        <x:f>IF(OR(G275="",J275=""),"",G275*J275)</x:f>
      </x:c>
      <x:c r="Q275" s="20"/>
      <x:c r="R275" s="20"/>
      <x:c r="S275" s="20"/>
      <x:c r="T275" s="22" t="str">
        <x:f>IF(K275="","",IFERROR(VLOOKUP(K275,Listas!$G$2:$J$8,4,FALSE),0))</x:f>
      </x:c>
      <x:c r="U275" s="23" t="n">
        <x:f>IFERROR(H275/T275,0)</x:f>
        <x:v>0</x:v>
      </x:c>
      <x:c r="V275" s="20"/>
    </x:row>
    <x:row r="276">
      <x:c r="A276" s="20"/>
      <x:c r="B276" s="20"/>
      <x:c r="C276" s="21"/>
      <x:c r="D276" s="20"/>
      <x:c r="E276" s="20"/>
      <x:c r="F276" s="20"/>
      <x:c r="G276" s="22"/>
      <x:c r="H276" s="22"/>
      <x:c r="I276" s="22"/>
      <x:c r="J276" s="23"/>
      <x:c r="K276" s="20"/>
      <x:c r="L276" s="20"/>
      <x:c r="M276" s="21"/>
      <x:c r="N276" s="20"/>
      <x:c r="O276" s="24" t="str">
        <x:f>IF(C276="","",MAX(0,TODAY()-C276))</x:f>
      </x:c>
      <x:c r="P276" s="22" t="str">
        <x:f>IF(OR(G276="",J276=""),"",G276*J276)</x:f>
      </x:c>
      <x:c r="Q276" s="20"/>
      <x:c r="R276" s="20"/>
      <x:c r="S276" s="20"/>
      <x:c r="T276" s="22" t="str">
        <x:f>IF(K276="","",IFERROR(VLOOKUP(K276,Listas!$G$2:$J$8,4,FALSE),0))</x:f>
      </x:c>
      <x:c r="U276" s="23" t="n">
        <x:f>IFERROR(H276/T276,0)</x:f>
        <x:v>0</x:v>
      </x:c>
      <x:c r="V276" s="20"/>
    </x:row>
    <x:row r="277">
      <x:c r="A277" s="20"/>
      <x:c r="B277" s="20"/>
      <x:c r="C277" s="21"/>
      <x:c r="D277" s="20"/>
      <x:c r="E277" s="20"/>
      <x:c r="F277" s="20"/>
      <x:c r="G277" s="22"/>
      <x:c r="H277" s="22"/>
      <x:c r="I277" s="22"/>
      <x:c r="J277" s="23"/>
      <x:c r="K277" s="20"/>
      <x:c r="L277" s="20"/>
      <x:c r="M277" s="21"/>
      <x:c r="N277" s="20"/>
      <x:c r="O277" s="24" t="str">
        <x:f>IF(C277="","",MAX(0,TODAY()-C277))</x:f>
      </x:c>
      <x:c r="P277" s="22" t="str">
        <x:f>IF(OR(G277="",J277=""),"",G277*J277)</x:f>
      </x:c>
      <x:c r="Q277" s="20"/>
      <x:c r="R277" s="20"/>
      <x:c r="S277" s="20"/>
      <x:c r="T277" s="22" t="str">
        <x:f>IF(K277="","",IFERROR(VLOOKUP(K277,Listas!$G$2:$J$8,4,FALSE),0))</x:f>
      </x:c>
      <x:c r="U277" s="23" t="n">
        <x:f>IFERROR(H277/T277,0)</x:f>
        <x:v>0</x:v>
      </x:c>
      <x:c r="V277" s="20"/>
    </x:row>
    <x:row r="278">
      <x:c r="A278" s="20"/>
      <x:c r="B278" s="20"/>
      <x:c r="C278" s="21"/>
      <x:c r="D278" s="20"/>
      <x:c r="E278" s="20"/>
      <x:c r="F278" s="20"/>
      <x:c r="G278" s="22"/>
      <x:c r="H278" s="22"/>
      <x:c r="I278" s="22"/>
      <x:c r="J278" s="23"/>
      <x:c r="K278" s="20"/>
      <x:c r="L278" s="20"/>
      <x:c r="M278" s="21"/>
      <x:c r="N278" s="20"/>
      <x:c r="O278" s="24" t="str">
        <x:f>IF(C278="","",MAX(0,TODAY()-C278))</x:f>
      </x:c>
      <x:c r="P278" s="22" t="str">
        <x:f>IF(OR(G278="",J278=""),"",G278*J278)</x:f>
      </x:c>
      <x:c r="Q278" s="20"/>
      <x:c r="R278" s="20"/>
      <x:c r="S278" s="20"/>
      <x:c r="T278" s="22" t="str">
        <x:f>IF(K278="","",IFERROR(VLOOKUP(K278,Listas!$G$2:$J$8,4,FALSE),0))</x:f>
      </x:c>
      <x:c r="U278" s="23" t="n">
        <x:f>IFERROR(H278/T278,0)</x:f>
        <x:v>0</x:v>
      </x:c>
      <x:c r="V278" s="20"/>
    </x:row>
    <x:row r="279">
      <x:c r="A279" s="20"/>
      <x:c r="B279" s="20"/>
      <x:c r="C279" s="21"/>
      <x:c r="D279" s="20"/>
      <x:c r="E279" s="20"/>
      <x:c r="F279" s="20"/>
      <x:c r="G279" s="22"/>
      <x:c r="H279" s="22"/>
      <x:c r="I279" s="22"/>
      <x:c r="J279" s="23"/>
      <x:c r="K279" s="20"/>
      <x:c r="L279" s="20"/>
      <x:c r="M279" s="21"/>
      <x:c r="N279" s="20"/>
      <x:c r="O279" s="24" t="str">
        <x:f>IF(C279="","",MAX(0,TODAY()-C279))</x:f>
      </x:c>
      <x:c r="P279" s="22" t="str">
        <x:f>IF(OR(G279="",J279=""),"",G279*J279)</x:f>
      </x:c>
      <x:c r="Q279" s="20"/>
      <x:c r="R279" s="20"/>
      <x:c r="S279" s="20"/>
      <x:c r="T279" s="22" t="str">
        <x:f>IF(K279="","",IFERROR(VLOOKUP(K279,Listas!$G$2:$J$8,4,FALSE),0))</x:f>
      </x:c>
      <x:c r="U279" s="23" t="n">
        <x:f>IFERROR(H279/T279,0)</x:f>
        <x:v>0</x:v>
      </x:c>
      <x:c r="V279" s="20"/>
    </x:row>
    <x:row r="280">
      <x:c r="A280" s="20"/>
      <x:c r="B280" s="20"/>
      <x:c r="C280" s="21"/>
      <x:c r="D280" s="20"/>
      <x:c r="E280" s="20"/>
      <x:c r="F280" s="20"/>
      <x:c r="G280" s="22"/>
      <x:c r="H280" s="22"/>
      <x:c r="I280" s="22"/>
      <x:c r="J280" s="23"/>
      <x:c r="K280" s="20"/>
      <x:c r="L280" s="20"/>
      <x:c r="M280" s="21"/>
      <x:c r="N280" s="20"/>
      <x:c r="O280" s="24" t="str">
        <x:f>IF(C280="","",MAX(0,TODAY()-C280))</x:f>
      </x:c>
      <x:c r="P280" s="22" t="str">
        <x:f>IF(OR(G280="",J280=""),"",G280*J280)</x:f>
      </x:c>
      <x:c r="Q280" s="20"/>
      <x:c r="R280" s="20"/>
      <x:c r="S280" s="20"/>
      <x:c r="T280" s="22" t="str">
        <x:f>IF(K280="","",IFERROR(VLOOKUP(K280,Listas!$G$2:$J$8,4,FALSE),0))</x:f>
      </x:c>
      <x:c r="U280" s="23" t="n">
        <x:f>IFERROR(H280/T280,0)</x:f>
        <x:v>0</x:v>
      </x:c>
      <x:c r="V280" s="20"/>
    </x:row>
    <x:row r="281">
      <x:c r="A281" s="20"/>
      <x:c r="B281" s="20"/>
      <x:c r="C281" s="21"/>
      <x:c r="D281" s="20"/>
      <x:c r="E281" s="20"/>
      <x:c r="F281" s="20"/>
      <x:c r="G281" s="22"/>
      <x:c r="H281" s="22"/>
      <x:c r="I281" s="22"/>
      <x:c r="J281" s="23"/>
      <x:c r="K281" s="20"/>
      <x:c r="L281" s="20"/>
      <x:c r="M281" s="21"/>
      <x:c r="N281" s="20"/>
      <x:c r="O281" s="24" t="str">
        <x:f>IF(C281="","",MAX(0,TODAY()-C281))</x:f>
      </x:c>
      <x:c r="P281" s="22" t="str">
        <x:f>IF(OR(G281="",J281=""),"",G281*J281)</x:f>
      </x:c>
      <x:c r="Q281" s="20"/>
      <x:c r="R281" s="20"/>
      <x:c r="S281" s="20"/>
      <x:c r="T281" s="22" t="str">
        <x:f>IF(K281="","",IFERROR(VLOOKUP(K281,Listas!$G$2:$J$8,4,FALSE),0))</x:f>
      </x:c>
      <x:c r="U281" s="23" t="n">
        <x:f>IFERROR(H281/T281,0)</x:f>
        <x:v>0</x:v>
      </x:c>
      <x:c r="V281" s="20"/>
    </x:row>
    <x:row r="282">
      <x:c r="A282" s="20"/>
      <x:c r="B282" s="20"/>
      <x:c r="C282" s="21"/>
      <x:c r="D282" s="20"/>
      <x:c r="E282" s="20"/>
      <x:c r="F282" s="20"/>
      <x:c r="G282" s="22"/>
      <x:c r="H282" s="22"/>
      <x:c r="I282" s="22"/>
      <x:c r="J282" s="23"/>
      <x:c r="K282" s="20"/>
      <x:c r="L282" s="20"/>
      <x:c r="M282" s="21"/>
      <x:c r="N282" s="20"/>
      <x:c r="O282" s="24" t="str">
        <x:f>IF(C282="","",MAX(0,TODAY()-C282))</x:f>
      </x:c>
      <x:c r="P282" s="22" t="str">
        <x:f>IF(OR(G282="",J282=""),"",G282*J282)</x:f>
      </x:c>
      <x:c r="Q282" s="20"/>
      <x:c r="R282" s="20"/>
      <x:c r="S282" s="20"/>
      <x:c r="T282" s="22" t="str">
        <x:f>IF(K282="","",IFERROR(VLOOKUP(K282,Listas!$G$2:$J$8,4,FALSE),0))</x:f>
      </x:c>
      <x:c r="U282" s="23" t="n">
        <x:f>IFERROR(H282/T282,0)</x:f>
        <x:v>0</x:v>
      </x:c>
      <x:c r="V282" s="20"/>
    </x:row>
    <x:row r="283">
      <x:c r="A283" s="20"/>
      <x:c r="B283" s="20"/>
      <x:c r="C283" s="21"/>
      <x:c r="D283" s="20"/>
      <x:c r="E283" s="20"/>
      <x:c r="F283" s="20"/>
      <x:c r="G283" s="22"/>
      <x:c r="H283" s="22"/>
      <x:c r="I283" s="22"/>
      <x:c r="J283" s="23"/>
      <x:c r="K283" s="20"/>
      <x:c r="L283" s="20"/>
      <x:c r="M283" s="21"/>
      <x:c r="N283" s="20"/>
      <x:c r="O283" s="24" t="str">
        <x:f>IF(C283="","",MAX(0,TODAY()-C283))</x:f>
      </x:c>
      <x:c r="P283" s="22" t="str">
        <x:f>IF(OR(G283="",J283=""),"",G283*J283)</x:f>
      </x:c>
      <x:c r="Q283" s="20"/>
      <x:c r="R283" s="20"/>
      <x:c r="S283" s="20"/>
      <x:c r="T283" s="22" t="str">
        <x:f>IF(K283="","",IFERROR(VLOOKUP(K283,Listas!$G$2:$J$8,4,FALSE),0))</x:f>
      </x:c>
      <x:c r="U283" s="23" t="n">
        <x:f>IFERROR(H283/T283,0)</x:f>
        <x:v>0</x:v>
      </x:c>
      <x:c r="V283" s="20"/>
    </x:row>
    <x:row r="284">
      <x:c r="A284" s="20"/>
      <x:c r="B284" s="20"/>
      <x:c r="C284" s="21"/>
      <x:c r="D284" s="20"/>
      <x:c r="E284" s="20"/>
      <x:c r="F284" s="20"/>
      <x:c r="G284" s="22"/>
      <x:c r="H284" s="22"/>
      <x:c r="I284" s="22"/>
      <x:c r="J284" s="23"/>
      <x:c r="K284" s="20"/>
      <x:c r="L284" s="20"/>
      <x:c r="M284" s="21"/>
      <x:c r="N284" s="20"/>
      <x:c r="O284" s="24" t="str">
        <x:f>IF(C284="","",MAX(0,TODAY()-C284))</x:f>
      </x:c>
      <x:c r="P284" s="22" t="str">
        <x:f>IF(OR(G284="",J284=""),"",G284*J284)</x:f>
      </x:c>
      <x:c r="Q284" s="20"/>
      <x:c r="R284" s="20"/>
      <x:c r="S284" s="20"/>
      <x:c r="T284" s="22" t="str">
        <x:f>IF(K284="","",IFERROR(VLOOKUP(K284,Listas!$G$2:$J$8,4,FALSE),0))</x:f>
      </x:c>
      <x:c r="U284" s="23" t="n">
        <x:f>IFERROR(H284/T284,0)</x:f>
        <x:v>0</x:v>
      </x:c>
      <x:c r="V284" s="20"/>
    </x:row>
    <x:row r="285">
      <x:c r="A285" s="20"/>
      <x:c r="B285" s="20"/>
      <x:c r="C285" s="21"/>
      <x:c r="D285" s="20"/>
      <x:c r="E285" s="20"/>
      <x:c r="F285" s="20"/>
      <x:c r="G285" s="22"/>
      <x:c r="H285" s="22"/>
      <x:c r="I285" s="22"/>
      <x:c r="J285" s="23"/>
      <x:c r="K285" s="20"/>
      <x:c r="L285" s="20"/>
      <x:c r="M285" s="21"/>
      <x:c r="N285" s="20"/>
      <x:c r="O285" s="24" t="str">
        <x:f>IF(C285="","",MAX(0,TODAY()-C285))</x:f>
      </x:c>
      <x:c r="P285" s="22" t="str">
        <x:f>IF(OR(G285="",J285=""),"",G285*J285)</x:f>
      </x:c>
      <x:c r="Q285" s="20"/>
      <x:c r="R285" s="20"/>
      <x:c r="S285" s="20"/>
      <x:c r="T285" s="22" t="str">
        <x:f>IF(K285="","",IFERROR(VLOOKUP(K285,Listas!$G$2:$J$8,4,FALSE),0))</x:f>
      </x:c>
      <x:c r="U285" s="23" t="n">
        <x:f>IFERROR(H285/T285,0)</x:f>
        <x:v>0</x:v>
      </x:c>
      <x:c r="V285" s="20"/>
    </x:row>
    <x:row r="286">
      <x:c r="A286" s="20"/>
      <x:c r="B286" s="20"/>
      <x:c r="C286" s="21"/>
      <x:c r="D286" s="20"/>
      <x:c r="E286" s="20"/>
      <x:c r="F286" s="20"/>
      <x:c r="G286" s="22"/>
      <x:c r="H286" s="22"/>
      <x:c r="I286" s="22"/>
      <x:c r="J286" s="23"/>
      <x:c r="K286" s="20"/>
      <x:c r="L286" s="20"/>
      <x:c r="M286" s="21"/>
      <x:c r="N286" s="20"/>
      <x:c r="O286" s="24" t="str">
        <x:f>IF(C286="","",MAX(0,TODAY()-C286))</x:f>
      </x:c>
      <x:c r="P286" s="22" t="str">
        <x:f>IF(OR(G286="",J286=""),"",G286*J286)</x:f>
      </x:c>
      <x:c r="Q286" s="20"/>
      <x:c r="R286" s="20"/>
      <x:c r="S286" s="20"/>
      <x:c r="T286" s="22" t="str">
        <x:f>IF(K286="","",IFERROR(VLOOKUP(K286,Listas!$G$2:$J$8,4,FALSE),0))</x:f>
      </x:c>
      <x:c r="U286" s="23" t="n">
        <x:f>IFERROR(H286/T286,0)</x:f>
        <x:v>0</x:v>
      </x:c>
      <x:c r="V286" s="20"/>
    </x:row>
    <x:row r="287">
      <x:c r="A287" s="20"/>
      <x:c r="B287" s="20"/>
      <x:c r="C287" s="21"/>
      <x:c r="D287" s="20"/>
      <x:c r="E287" s="20"/>
      <x:c r="F287" s="20"/>
      <x:c r="G287" s="22"/>
      <x:c r="H287" s="22"/>
      <x:c r="I287" s="22"/>
      <x:c r="J287" s="23"/>
      <x:c r="K287" s="20"/>
      <x:c r="L287" s="20"/>
      <x:c r="M287" s="21"/>
      <x:c r="N287" s="20"/>
      <x:c r="O287" s="24" t="str">
        <x:f>IF(C287="","",MAX(0,TODAY()-C287))</x:f>
      </x:c>
      <x:c r="P287" s="22" t="str">
        <x:f>IF(OR(G287="",J287=""),"",G287*J287)</x:f>
      </x:c>
      <x:c r="Q287" s="20"/>
      <x:c r="R287" s="20"/>
      <x:c r="S287" s="20"/>
      <x:c r="T287" s="22" t="str">
        <x:f>IF(K287="","",IFERROR(VLOOKUP(K287,Listas!$G$2:$J$8,4,FALSE),0))</x:f>
      </x:c>
      <x:c r="U287" s="23" t="n">
        <x:f>IFERROR(H287/T287,0)</x:f>
        <x:v>0</x:v>
      </x:c>
      <x:c r="V287" s="20"/>
    </x:row>
    <x:row r="288">
      <x:c r="A288" s="20"/>
      <x:c r="B288" s="20"/>
      <x:c r="C288" s="21"/>
      <x:c r="D288" s="20"/>
      <x:c r="E288" s="20"/>
      <x:c r="F288" s="20"/>
      <x:c r="G288" s="22"/>
      <x:c r="H288" s="22"/>
      <x:c r="I288" s="22"/>
      <x:c r="J288" s="23"/>
      <x:c r="K288" s="20"/>
      <x:c r="L288" s="20"/>
      <x:c r="M288" s="21"/>
      <x:c r="N288" s="20"/>
      <x:c r="O288" s="24" t="str">
        <x:f>IF(C288="","",MAX(0,TODAY()-C288))</x:f>
      </x:c>
      <x:c r="P288" s="22" t="str">
        <x:f>IF(OR(G288="",J288=""),"",G288*J288)</x:f>
      </x:c>
      <x:c r="Q288" s="20"/>
      <x:c r="R288" s="20"/>
      <x:c r="S288" s="20"/>
      <x:c r="T288" s="22" t="str">
        <x:f>IF(K288="","",IFERROR(VLOOKUP(K288,Listas!$G$2:$J$8,4,FALSE),0))</x:f>
      </x:c>
      <x:c r="U288" s="23" t="n">
        <x:f>IFERROR(H288/T288,0)</x:f>
        <x:v>0</x:v>
      </x:c>
      <x:c r="V288" s="20"/>
    </x:row>
    <x:row r="289">
      <x:c r="A289" s="20"/>
      <x:c r="B289" s="20"/>
      <x:c r="C289" s="21"/>
      <x:c r="D289" s="20"/>
      <x:c r="E289" s="20"/>
      <x:c r="F289" s="20"/>
      <x:c r="G289" s="22"/>
      <x:c r="H289" s="22"/>
      <x:c r="I289" s="22"/>
      <x:c r="J289" s="23"/>
      <x:c r="K289" s="20"/>
      <x:c r="L289" s="20"/>
      <x:c r="M289" s="21"/>
      <x:c r="N289" s="20"/>
      <x:c r="O289" s="24" t="str">
        <x:f>IF(C289="","",MAX(0,TODAY()-C289))</x:f>
      </x:c>
      <x:c r="P289" s="22" t="str">
        <x:f>IF(OR(G289="",J289=""),"",G289*J289)</x:f>
      </x:c>
      <x:c r="Q289" s="20"/>
      <x:c r="R289" s="20"/>
      <x:c r="S289" s="20"/>
      <x:c r="T289" s="22" t="str">
        <x:f>IF(K289="","",IFERROR(VLOOKUP(K289,Listas!$G$2:$J$8,4,FALSE),0))</x:f>
      </x:c>
      <x:c r="U289" s="23" t="n">
        <x:f>IFERROR(H289/T289,0)</x:f>
        <x:v>0</x:v>
      </x:c>
      <x:c r="V289" s="20"/>
    </x:row>
    <x:row r="290">
      <x:c r="A290" s="20"/>
      <x:c r="B290" s="20"/>
      <x:c r="C290" s="21"/>
      <x:c r="D290" s="20"/>
      <x:c r="E290" s="20"/>
      <x:c r="F290" s="20"/>
      <x:c r="G290" s="22"/>
      <x:c r="H290" s="22"/>
      <x:c r="I290" s="22"/>
      <x:c r="J290" s="23"/>
      <x:c r="K290" s="20"/>
      <x:c r="L290" s="20"/>
      <x:c r="M290" s="21"/>
      <x:c r="N290" s="20"/>
      <x:c r="O290" s="24" t="str">
        <x:f>IF(C290="","",MAX(0,TODAY()-C290))</x:f>
      </x:c>
      <x:c r="P290" s="22" t="str">
        <x:f>IF(OR(G290="",J290=""),"",G290*J290)</x:f>
      </x:c>
      <x:c r="Q290" s="20"/>
      <x:c r="R290" s="20"/>
      <x:c r="S290" s="20"/>
      <x:c r="T290" s="22" t="str">
        <x:f>IF(K290="","",IFERROR(VLOOKUP(K290,Listas!$G$2:$J$8,4,FALSE),0))</x:f>
      </x:c>
      <x:c r="U290" s="23" t="n">
        <x:f>IFERROR(H290/T290,0)</x:f>
        <x:v>0</x:v>
      </x:c>
      <x:c r="V290" s="20"/>
    </x:row>
    <x:row r="291">
      <x:c r="A291" s="20"/>
      <x:c r="B291" s="20"/>
      <x:c r="C291" s="21"/>
      <x:c r="D291" s="20"/>
      <x:c r="E291" s="20"/>
      <x:c r="F291" s="20"/>
      <x:c r="G291" s="22"/>
      <x:c r="H291" s="22"/>
      <x:c r="I291" s="22"/>
      <x:c r="J291" s="23"/>
      <x:c r="K291" s="20"/>
      <x:c r="L291" s="20"/>
      <x:c r="M291" s="21"/>
      <x:c r="N291" s="20"/>
      <x:c r="O291" s="24" t="str">
        <x:f>IF(C291="","",MAX(0,TODAY()-C291))</x:f>
      </x:c>
      <x:c r="P291" s="22" t="str">
        <x:f>IF(OR(G291="",J291=""),"",G291*J291)</x:f>
      </x:c>
      <x:c r="Q291" s="20"/>
      <x:c r="R291" s="20"/>
      <x:c r="S291" s="20"/>
      <x:c r="T291" s="22" t="str">
        <x:f>IF(K291="","",IFERROR(VLOOKUP(K291,Listas!$G$2:$J$8,4,FALSE),0))</x:f>
      </x:c>
      <x:c r="U291" s="23" t="n">
        <x:f>IFERROR(H291/T291,0)</x:f>
        <x:v>0</x:v>
      </x:c>
      <x:c r="V291" s="20"/>
    </x:row>
    <x:row r="292">
      <x:c r="A292" s="20"/>
      <x:c r="B292" s="20"/>
      <x:c r="C292" s="21"/>
      <x:c r="D292" s="20"/>
      <x:c r="E292" s="20"/>
      <x:c r="F292" s="20"/>
      <x:c r="G292" s="22"/>
      <x:c r="H292" s="22"/>
      <x:c r="I292" s="22"/>
      <x:c r="J292" s="23"/>
      <x:c r="K292" s="20"/>
      <x:c r="L292" s="20"/>
      <x:c r="M292" s="21"/>
      <x:c r="N292" s="20"/>
      <x:c r="O292" s="24" t="str">
        <x:f>IF(C292="","",MAX(0,TODAY()-C292))</x:f>
      </x:c>
      <x:c r="P292" s="22" t="str">
        <x:f>IF(OR(G292="",J292=""),"",G292*J292)</x:f>
      </x:c>
      <x:c r="Q292" s="20"/>
      <x:c r="R292" s="20"/>
      <x:c r="S292" s="20"/>
      <x:c r="T292" s="22" t="str">
        <x:f>IF(K292="","",IFERROR(VLOOKUP(K292,Listas!$G$2:$J$8,4,FALSE),0))</x:f>
      </x:c>
      <x:c r="U292" s="23" t="n">
        <x:f>IFERROR(H292/T292,0)</x:f>
        <x:v>0</x:v>
      </x:c>
      <x:c r="V292" s="20"/>
    </x:row>
    <x:row r="293">
      <x:c r="A293" s="20"/>
      <x:c r="B293" s="20"/>
      <x:c r="C293" s="21"/>
      <x:c r="D293" s="20"/>
      <x:c r="E293" s="20"/>
      <x:c r="F293" s="20"/>
      <x:c r="G293" s="22"/>
      <x:c r="H293" s="22"/>
      <x:c r="I293" s="22"/>
      <x:c r="J293" s="23"/>
      <x:c r="K293" s="20"/>
      <x:c r="L293" s="20"/>
      <x:c r="M293" s="21"/>
      <x:c r="N293" s="20"/>
      <x:c r="O293" s="24" t="str">
        <x:f>IF(C293="","",MAX(0,TODAY()-C293))</x:f>
      </x:c>
      <x:c r="P293" s="22" t="str">
        <x:f>IF(OR(G293="",J293=""),"",G293*J293)</x:f>
      </x:c>
      <x:c r="Q293" s="20"/>
      <x:c r="R293" s="20"/>
      <x:c r="S293" s="20"/>
      <x:c r="T293" s="22" t="str">
        <x:f>IF(K293="","",IFERROR(VLOOKUP(K293,Listas!$G$2:$J$8,4,FALSE),0))</x:f>
      </x:c>
      <x:c r="U293" s="23" t="n">
        <x:f>IFERROR(H293/T293,0)</x:f>
        <x:v>0</x:v>
      </x:c>
      <x:c r="V293" s="20"/>
    </x:row>
    <x:row r="294">
      <x:c r="A294" s="20"/>
      <x:c r="B294" s="20"/>
      <x:c r="C294" s="21"/>
      <x:c r="D294" s="20"/>
      <x:c r="E294" s="20"/>
      <x:c r="F294" s="20"/>
      <x:c r="G294" s="22"/>
      <x:c r="H294" s="22"/>
      <x:c r="I294" s="22"/>
      <x:c r="J294" s="23"/>
      <x:c r="K294" s="20"/>
      <x:c r="L294" s="20"/>
      <x:c r="M294" s="21"/>
      <x:c r="N294" s="20"/>
      <x:c r="O294" s="24" t="str">
        <x:f>IF(C294="","",MAX(0,TODAY()-C294))</x:f>
      </x:c>
      <x:c r="P294" s="22" t="str">
        <x:f>IF(OR(G294="",J294=""),"",G294*J294)</x:f>
      </x:c>
      <x:c r="Q294" s="20"/>
      <x:c r="R294" s="20"/>
      <x:c r="S294" s="20"/>
      <x:c r="T294" s="22" t="str">
        <x:f>IF(K294="","",IFERROR(VLOOKUP(K294,Listas!$G$2:$J$8,4,FALSE),0))</x:f>
      </x:c>
      <x:c r="U294" s="23" t="n">
        <x:f>IFERROR(H294/T294,0)</x:f>
        <x:v>0</x:v>
      </x:c>
      <x:c r="V294" s="20"/>
    </x:row>
    <x:row r="295">
      <x:c r="A295" s="20"/>
      <x:c r="B295" s="20"/>
      <x:c r="C295" s="21"/>
      <x:c r="D295" s="20"/>
      <x:c r="E295" s="20"/>
      <x:c r="F295" s="20"/>
      <x:c r="G295" s="22"/>
      <x:c r="H295" s="22"/>
      <x:c r="I295" s="22"/>
      <x:c r="J295" s="23"/>
      <x:c r="K295" s="20"/>
      <x:c r="L295" s="20"/>
      <x:c r="M295" s="21"/>
      <x:c r="N295" s="20"/>
      <x:c r="O295" s="24" t="str">
        <x:f>IF(C295="","",MAX(0,TODAY()-C295))</x:f>
      </x:c>
      <x:c r="P295" s="22" t="str">
        <x:f>IF(OR(G295="",J295=""),"",G295*J295)</x:f>
      </x:c>
      <x:c r="Q295" s="20"/>
      <x:c r="R295" s="20"/>
      <x:c r="S295" s="20"/>
      <x:c r="T295" s="22" t="str">
        <x:f>IF(K295="","",IFERROR(VLOOKUP(K295,Listas!$G$2:$J$8,4,FALSE),0))</x:f>
      </x:c>
      <x:c r="U295" s="23" t="n">
        <x:f>IFERROR(H295/T295,0)</x:f>
        <x:v>0</x:v>
      </x:c>
      <x:c r="V295" s="20"/>
    </x:row>
    <x:row r="296">
      <x:c r="A296" s="20"/>
      <x:c r="B296" s="20"/>
      <x:c r="C296" s="21"/>
      <x:c r="D296" s="20"/>
      <x:c r="E296" s="20"/>
      <x:c r="F296" s="20"/>
      <x:c r="G296" s="22"/>
      <x:c r="H296" s="22"/>
      <x:c r="I296" s="22"/>
      <x:c r="J296" s="23"/>
      <x:c r="K296" s="20"/>
      <x:c r="L296" s="20"/>
      <x:c r="M296" s="21"/>
      <x:c r="N296" s="20"/>
      <x:c r="O296" s="24" t="str">
        <x:f>IF(C296="","",MAX(0,TODAY()-C296))</x:f>
      </x:c>
      <x:c r="P296" s="22" t="str">
        <x:f>IF(OR(G296="",J296=""),"",G296*J296)</x:f>
      </x:c>
      <x:c r="Q296" s="20"/>
      <x:c r="R296" s="20"/>
      <x:c r="S296" s="20"/>
      <x:c r="T296" s="22" t="str">
        <x:f>IF(K296="","",IFERROR(VLOOKUP(K296,Listas!$G$2:$J$8,4,FALSE),0))</x:f>
      </x:c>
      <x:c r="U296" s="23" t="n">
        <x:f>IFERROR(H296/T296,0)</x:f>
        <x:v>0</x:v>
      </x:c>
      <x:c r="V296" s="20"/>
    </x:row>
    <x:row r="297">
      <x:c r="A297" s="20"/>
      <x:c r="B297" s="20"/>
      <x:c r="C297" s="21"/>
      <x:c r="D297" s="20"/>
      <x:c r="E297" s="20"/>
      <x:c r="F297" s="20"/>
      <x:c r="G297" s="22"/>
      <x:c r="H297" s="22"/>
      <x:c r="I297" s="22"/>
      <x:c r="J297" s="23"/>
      <x:c r="K297" s="20"/>
      <x:c r="L297" s="20"/>
      <x:c r="M297" s="21"/>
      <x:c r="N297" s="20"/>
      <x:c r="O297" s="24" t="str">
        <x:f>IF(C297="","",MAX(0,TODAY()-C297))</x:f>
      </x:c>
      <x:c r="P297" s="22" t="str">
        <x:f>IF(OR(G297="",J297=""),"",G297*J297)</x:f>
      </x:c>
      <x:c r="Q297" s="20"/>
      <x:c r="R297" s="20"/>
      <x:c r="S297" s="20"/>
      <x:c r="T297" s="22" t="str">
        <x:f>IF(K297="","",IFERROR(VLOOKUP(K297,Listas!$G$2:$J$8,4,FALSE),0))</x:f>
      </x:c>
      <x:c r="U297" s="23" t="n">
        <x:f>IFERROR(H297/T297,0)</x:f>
        <x:v>0</x:v>
      </x:c>
      <x:c r="V297" s="20"/>
    </x:row>
    <x:row r="298">
      <x:c r="A298" s="20"/>
      <x:c r="B298" s="20"/>
      <x:c r="C298" s="21"/>
      <x:c r="D298" s="20"/>
      <x:c r="E298" s="20"/>
      <x:c r="F298" s="20"/>
      <x:c r="G298" s="22"/>
      <x:c r="H298" s="22"/>
      <x:c r="I298" s="22"/>
      <x:c r="J298" s="23"/>
      <x:c r="K298" s="20"/>
      <x:c r="L298" s="20"/>
      <x:c r="M298" s="21"/>
      <x:c r="N298" s="20"/>
      <x:c r="O298" s="24" t="str">
        <x:f>IF(C298="","",MAX(0,TODAY()-C298))</x:f>
      </x:c>
      <x:c r="P298" s="22" t="str">
        <x:f>IF(OR(G298="",J298=""),"",G298*J298)</x:f>
      </x:c>
      <x:c r="Q298" s="20"/>
      <x:c r="R298" s="20"/>
      <x:c r="S298" s="20"/>
      <x:c r="T298" s="22" t="str">
        <x:f>IF(K298="","",IFERROR(VLOOKUP(K298,Listas!$G$2:$J$8,4,FALSE),0))</x:f>
      </x:c>
      <x:c r="U298" s="23" t="n">
        <x:f>IFERROR(H298/T298,0)</x:f>
        <x:v>0</x:v>
      </x:c>
      <x:c r="V298" s="20"/>
    </x:row>
    <x:row r="299">
      <x:c r="A299" s="20"/>
      <x:c r="B299" s="20"/>
      <x:c r="C299" s="21"/>
      <x:c r="D299" s="20"/>
      <x:c r="E299" s="20"/>
      <x:c r="F299" s="20"/>
      <x:c r="G299" s="22"/>
      <x:c r="H299" s="22"/>
      <x:c r="I299" s="22"/>
      <x:c r="J299" s="23"/>
      <x:c r="K299" s="20"/>
      <x:c r="L299" s="20"/>
      <x:c r="M299" s="21"/>
      <x:c r="N299" s="20"/>
      <x:c r="O299" s="24" t="str">
        <x:f>IF(C299="","",MAX(0,TODAY()-C299))</x:f>
      </x:c>
      <x:c r="P299" s="22" t="str">
        <x:f>IF(OR(G299="",J299=""),"",G299*J299)</x:f>
      </x:c>
      <x:c r="Q299" s="20"/>
      <x:c r="R299" s="20"/>
      <x:c r="S299" s="20"/>
      <x:c r="T299" s="22" t="str">
        <x:f>IF(K299="","",IFERROR(VLOOKUP(K299,Listas!$G$2:$J$8,4,FALSE),0))</x:f>
      </x:c>
      <x:c r="U299" s="23" t="n">
        <x:f>IFERROR(H299/T299,0)</x:f>
        <x:v>0</x:v>
      </x:c>
      <x:c r="V299" s="20"/>
    </x:row>
    <x:row r="300">
      <x:c r="A300" s="20"/>
      <x:c r="B300" s="20"/>
      <x:c r="C300" s="21"/>
      <x:c r="D300" s="20"/>
      <x:c r="E300" s="20"/>
      <x:c r="F300" s="20"/>
      <x:c r="G300" s="22"/>
      <x:c r="H300" s="22"/>
      <x:c r="I300" s="22"/>
      <x:c r="J300" s="23"/>
      <x:c r="K300" s="20"/>
      <x:c r="L300" s="20"/>
      <x:c r="M300" s="21"/>
      <x:c r="N300" s="20"/>
      <x:c r="O300" s="24" t="str">
        <x:f>IF(C300="","",MAX(0,TODAY()-C300))</x:f>
      </x:c>
      <x:c r="P300" s="22" t="str">
        <x:f>IF(OR(G300="",J300=""),"",G300*J300)</x:f>
      </x:c>
      <x:c r="Q300" s="20"/>
      <x:c r="R300" s="20"/>
      <x:c r="S300" s="20"/>
      <x:c r="T300" s="22" t="str">
        <x:f>IF(K300="","",IFERROR(VLOOKUP(K300,Listas!$G$2:$J$8,4,FALSE),0))</x:f>
      </x:c>
      <x:c r="U300" s="23" t="n">
        <x:f>IFERROR(H300/T300,0)</x:f>
        <x:v>0</x:v>
      </x:c>
      <x:c r="V300" s="20"/>
    </x:row>
    <x:row r="301">
      <x:c r="A301" s="20"/>
      <x:c r="B301" s="20"/>
      <x:c r="C301" s="21"/>
      <x:c r="D301" s="20"/>
      <x:c r="E301" s="20"/>
      <x:c r="F301" s="20"/>
      <x:c r="G301" s="22"/>
      <x:c r="H301" s="22"/>
      <x:c r="I301" s="22"/>
      <x:c r="J301" s="23"/>
      <x:c r="K301" s="20"/>
      <x:c r="L301" s="20"/>
      <x:c r="M301" s="21"/>
      <x:c r="N301" s="20"/>
      <x:c r="O301" s="24" t="str">
        <x:f>IF(C301="","",MAX(0,TODAY()-C301))</x:f>
      </x:c>
      <x:c r="P301" s="22" t="str">
        <x:f>IF(OR(G301="",J301=""),"",G301*J301)</x:f>
      </x:c>
      <x:c r="Q301" s="20"/>
      <x:c r="R301" s="20"/>
      <x:c r="S301" s="20"/>
      <x:c r="T301" s="22" t="str">
        <x:f>IF(K301="","",IFERROR(VLOOKUP(K301,Listas!$G$2:$J$8,4,FALSE),0))</x:f>
      </x:c>
      <x:c r="U301" s="23" t="n">
        <x:f>IFERROR(H301/T301,0)</x:f>
        <x:v>0</x:v>
      </x:c>
      <x:c r="V301" s="20"/>
    </x:row>
    <x:row r="302">
      <x:c r="A302" s="20"/>
      <x:c r="B302" s="20"/>
      <x:c r="C302" s="21"/>
      <x:c r="D302" s="20"/>
      <x:c r="E302" s="20"/>
      <x:c r="F302" s="20"/>
      <x:c r="G302" s="22"/>
      <x:c r="H302" s="22"/>
      <x:c r="I302" s="22"/>
      <x:c r="J302" s="23"/>
      <x:c r="K302" s="20"/>
      <x:c r="L302" s="20"/>
      <x:c r="M302" s="21"/>
      <x:c r="N302" s="20"/>
      <x:c r="O302" s="24" t="str">
        <x:f>IF(C302="","",MAX(0,TODAY()-C302))</x:f>
      </x:c>
      <x:c r="P302" s="22" t="str">
        <x:f>IF(OR(G302="",J302=""),"",G302*J302)</x:f>
      </x:c>
      <x:c r="Q302" s="20"/>
      <x:c r="R302" s="20"/>
      <x:c r="S302" s="20"/>
      <x:c r="T302" s="22" t="str">
        <x:f>IF(K302="","",IFERROR(VLOOKUP(K302,Listas!$G$2:$J$8,4,FALSE),0))</x:f>
      </x:c>
      <x:c r="U302" s="23" t="n">
        <x:f>IFERROR(H302/T302,0)</x:f>
        <x:v>0</x:v>
      </x:c>
      <x:c r="V302" s="20"/>
    </x:row>
    <x:row r="303">
      <x:c r="A303" s="20"/>
      <x:c r="B303" s="20"/>
      <x:c r="C303" s="21"/>
      <x:c r="D303" s="20"/>
      <x:c r="E303" s="20"/>
      <x:c r="F303" s="20"/>
      <x:c r="G303" s="22"/>
      <x:c r="H303" s="22"/>
      <x:c r="I303" s="22"/>
      <x:c r="J303" s="23"/>
      <x:c r="K303" s="20"/>
      <x:c r="L303" s="20"/>
      <x:c r="M303" s="21"/>
      <x:c r="N303" s="20"/>
      <x:c r="O303" s="24" t="str">
        <x:f>IF(C303="","",MAX(0,TODAY()-C303))</x:f>
      </x:c>
      <x:c r="P303" s="22" t="str">
        <x:f>IF(OR(G303="",J303=""),"",G303*J303)</x:f>
      </x:c>
      <x:c r="Q303" s="20"/>
      <x:c r="R303" s="20"/>
      <x:c r="S303" s="20"/>
      <x:c r="T303" s="22" t="str">
        <x:f>IF(K303="","",IFERROR(VLOOKUP(K303,Listas!$G$2:$J$8,4,FALSE),0))</x:f>
      </x:c>
      <x:c r="U303" s="23" t="n">
        <x:f>IFERROR(H303/T303,0)</x:f>
        <x:v>0</x:v>
      </x:c>
      <x:c r="V303" s="20"/>
    </x:row>
    <x:row r="304">
      <x:c r="A304" s="20"/>
      <x:c r="B304" s="20"/>
      <x:c r="C304" s="21"/>
      <x:c r="D304" s="20"/>
      <x:c r="E304" s="20"/>
      <x:c r="F304" s="20"/>
      <x:c r="G304" s="22"/>
      <x:c r="H304" s="22"/>
      <x:c r="I304" s="22"/>
      <x:c r="J304" s="23"/>
      <x:c r="K304" s="20"/>
      <x:c r="L304" s="20"/>
      <x:c r="M304" s="21"/>
      <x:c r="N304" s="20"/>
      <x:c r="O304" s="24" t="str">
        <x:f>IF(C304="","",MAX(0,TODAY()-C304))</x:f>
      </x:c>
      <x:c r="P304" s="22" t="str">
        <x:f>IF(OR(G304="",J304=""),"",G304*J304)</x:f>
      </x:c>
      <x:c r="Q304" s="20"/>
      <x:c r="R304" s="20"/>
      <x:c r="S304" s="20"/>
      <x:c r="T304" s="22" t="str">
        <x:f>IF(K304="","",IFERROR(VLOOKUP(K304,Listas!$G$2:$J$8,4,FALSE),0))</x:f>
      </x:c>
      <x:c r="U304" s="23" t="n">
        <x:f>IFERROR(H304/T304,0)</x:f>
        <x:v>0</x:v>
      </x:c>
      <x:c r="V304" s="20"/>
    </x:row>
    <x:row r="305">
      <x:c r="A305" s="20"/>
      <x:c r="B305" s="20"/>
      <x:c r="C305" s="21"/>
      <x:c r="D305" s="20"/>
      <x:c r="E305" s="20"/>
      <x:c r="F305" s="20"/>
      <x:c r="G305" s="22"/>
      <x:c r="H305" s="22"/>
      <x:c r="I305" s="22"/>
      <x:c r="J305" s="23"/>
      <x:c r="K305" s="20"/>
      <x:c r="L305" s="20"/>
      <x:c r="M305" s="21"/>
      <x:c r="N305" s="20"/>
      <x:c r="O305" s="24" t="str">
        <x:f>IF(C305="","",MAX(0,TODAY()-C305))</x:f>
      </x:c>
      <x:c r="P305" s="22" t="str">
        <x:f>IF(OR(G305="",J305=""),"",G305*J305)</x:f>
      </x:c>
      <x:c r="Q305" s="20"/>
      <x:c r="R305" s="20"/>
      <x:c r="S305" s="20"/>
      <x:c r="T305" s="22" t="str">
        <x:f>IF(K305="","",IFERROR(VLOOKUP(K305,Listas!$G$2:$J$8,4,FALSE),0))</x:f>
      </x:c>
      <x:c r="U305" s="23" t="n">
        <x:f>IFERROR(H305/T305,0)</x:f>
        <x:v>0</x:v>
      </x:c>
      <x:c r="V305" s="20"/>
    </x:row>
    <x:row r="306">
      <x:c r="A306" s="20"/>
      <x:c r="B306" s="20"/>
      <x:c r="C306" s="21"/>
      <x:c r="D306" s="20"/>
      <x:c r="E306" s="20"/>
      <x:c r="F306" s="20"/>
      <x:c r="G306" s="22"/>
      <x:c r="H306" s="22"/>
      <x:c r="I306" s="22"/>
      <x:c r="J306" s="23"/>
      <x:c r="K306" s="20"/>
      <x:c r="L306" s="20"/>
      <x:c r="M306" s="21"/>
      <x:c r="N306" s="20"/>
      <x:c r="O306" s="24" t="str">
        <x:f>IF(C306="","",MAX(0,TODAY()-C306))</x:f>
      </x:c>
      <x:c r="P306" s="22" t="str">
        <x:f>IF(OR(G306="",J306=""),"",G306*J306)</x:f>
      </x:c>
      <x:c r="Q306" s="20"/>
      <x:c r="R306" s="20"/>
      <x:c r="S306" s="20"/>
      <x:c r="T306" s="22" t="str">
        <x:f>IF(K306="","",IFERROR(VLOOKUP(K306,Listas!$G$2:$J$8,4,FALSE),0))</x:f>
      </x:c>
      <x:c r="U306" s="23" t="n">
        <x:f>IFERROR(H306/T306,0)</x:f>
        <x:v>0</x:v>
      </x:c>
      <x:c r="V306" s="20"/>
    </x:row>
    <x:row r="307">
      <x:c r="A307" s="20"/>
      <x:c r="B307" s="20"/>
      <x:c r="C307" s="21"/>
      <x:c r="D307" s="20"/>
      <x:c r="E307" s="20"/>
      <x:c r="F307" s="20"/>
      <x:c r="G307" s="22"/>
      <x:c r="H307" s="22"/>
      <x:c r="I307" s="22"/>
      <x:c r="J307" s="23"/>
      <x:c r="K307" s="20"/>
      <x:c r="L307" s="20"/>
      <x:c r="M307" s="21"/>
      <x:c r="N307" s="20"/>
      <x:c r="O307" s="24" t="str">
        <x:f>IF(C307="","",MAX(0,TODAY()-C307))</x:f>
      </x:c>
      <x:c r="P307" s="22" t="str">
        <x:f>IF(OR(G307="",J307=""),"",G307*J307)</x:f>
      </x:c>
      <x:c r="Q307" s="20"/>
      <x:c r="R307" s="20"/>
      <x:c r="S307" s="20"/>
      <x:c r="T307" s="22" t="str">
        <x:f>IF(K307="","",IFERROR(VLOOKUP(K307,Listas!$G$2:$J$8,4,FALSE),0))</x:f>
      </x:c>
      <x:c r="U307" s="23" t="n">
        <x:f>IFERROR(H307/T307,0)</x:f>
        <x:v>0</x:v>
      </x:c>
      <x:c r="V307" s="20"/>
    </x:row>
    <x:row r="308">
      <x:c r="A308" s="20"/>
      <x:c r="B308" s="20"/>
      <x:c r="C308" s="21"/>
      <x:c r="D308" s="20"/>
      <x:c r="E308" s="20"/>
      <x:c r="F308" s="20"/>
      <x:c r="G308" s="22"/>
      <x:c r="H308" s="22"/>
      <x:c r="I308" s="22"/>
      <x:c r="J308" s="23"/>
      <x:c r="K308" s="20"/>
      <x:c r="L308" s="20"/>
      <x:c r="M308" s="21"/>
      <x:c r="N308" s="20"/>
      <x:c r="O308" s="24" t="str">
        <x:f>IF(C308="","",MAX(0,TODAY()-C308))</x:f>
      </x:c>
      <x:c r="P308" s="22" t="str">
        <x:f>IF(OR(G308="",J308=""),"",G308*J308)</x:f>
      </x:c>
      <x:c r="Q308" s="20"/>
      <x:c r="R308" s="20"/>
      <x:c r="S308" s="20"/>
      <x:c r="T308" s="22" t="str">
        <x:f>IF(K308="","",IFERROR(VLOOKUP(K308,Listas!$G$2:$J$8,4,FALSE),0))</x:f>
      </x:c>
      <x:c r="U308" s="23" t="n">
        <x:f>IFERROR(H308/T308,0)</x:f>
        <x:v>0</x:v>
      </x:c>
      <x:c r="V308" s="20"/>
    </x:row>
    <x:row r="309">
      <x:c r="A309" s="20"/>
      <x:c r="B309" s="20"/>
      <x:c r="C309" s="21"/>
      <x:c r="D309" s="20"/>
      <x:c r="E309" s="20"/>
      <x:c r="F309" s="20"/>
      <x:c r="G309" s="22"/>
      <x:c r="H309" s="22"/>
      <x:c r="I309" s="22"/>
      <x:c r="J309" s="23"/>
      <x:c r="K309" s="20"/>
      <x:c r="L309" s="20"/>
      <x:c r="M309" s="21"/>
      <x:c r="N309" s="20"/>
      <x:c r="O309" s="24" t="str">
        <x:f>IF(C309="","",MAX(0,TODAY()-C309))</x:f>
      </x:c>
      <x:c r="P309" s="22" t="str">
        <x:f>IF(OR(G309="",J309=""),"",G309*J309)</x:f>
      </x:c>
      <x:c r="Q309" s="20"/>
      <x:c r="R309" s="20"/>
      <x:c r="S309" s="20"/>
      <x:c r="T309" s="22" t="str">
        <x:f>IF(K309="","",IFERROR(VLOOKUP(K309,Listas!$G$2:$J$8,4,FALSE),0))</x:f>
      </x:c>
      <x:c r="U309" s="23" t="n">
        <x:f>IFERROR(H309/T309,0)</x:f>
        <x:v>0</x:v>
      </x:c>
      <x:c r="V309" s="20"/>
    </x:row>
    <x:row r="310">
      <x:c r="A310" s="20"/>
      <x:c r="B310" s="20"/>
      <x:c r="C310" s="21"/>
      <x:c r="D310" s="20"/>
      <x:c r="E310" s="20"/>
      <x:c r="F310" s="20"/>
      <x:c r="G310" s="22"/>
      <x:c r="H310" s="22"/>
      <x:c r="I310" s="22"/>
      <x:c r="J310" s="23"/>
      <x:c r="K310" s="20"/>
      <x:c r="L310" s="20"/>
      <x:c r="M310" s="21"/>
      <x:c r="N310" s="20"/>
      <x:c r="O310" s="24" t="str">
        <x:f>IF(C310="","",MAX(0,TODAY()-C310))</x:f>
      </x:c>
      <x:c r="P310" s="22" t="str">
        <x:f>IF(OR(G310="",J310=""),"",G310*J310)</x:f>
      </x:c>
      <x:c r="Q310" s="20"/>
      <x:c r="R310" s="20"/>
      <x:c r="S310" s="20"/>
      <x:c r="T310" s="22" t="str">
        <x:f>IF(K310="","",IFERROR(VLOOKUP(K310,Listas!$G$2:$J$8,4,FALSE),0))</x:f>
      </x:c>
      <x:c r="U310" s="23" t="n">
        <x:f>IFERROR(H310/T310,0)</x:f>
        <x:v>0</x:v>
      </x:c>
      <x:c r="V310" s="20"/>
    </x:row>
    <x:row r="311">
      <x:c r="A311" s="20"/>
      <x:c r="B311" s="20"/>
      <x:c r="C311" s="21"/>
      <x:c r="D311" s="20"/>
      <x:c r="E311" s="20"/>
      <x:c r="F311" s="20"/>
      <x:c r="G311" s="22"/>
      <x:c r="H311" s="22"/>
      <x:c r="I311" s="22"/>
      <x:c r="J311" s="23"/>
      <x:c r="K311" s="20"/>
      <x:c r="L311" s="20"/>
      <x:c r="M311" s="21"/>
      <x:c r="N311" s="20"/>
      <x:c r="O311" s="24" t="str">
        <x:f>IF(C311="","",MAX(0,TODAY()-C311))</x:f>
      </x:c>
      <x:c r="P311" s="22" t="str">
        <x:f>IF(OR(G311="",J311=""),"",G311*J311)</x:f>
      </x:c>
      <x:c r="Q311" s="20"/>
      <x:c r="R311" s="20"/>
      <x:c r="S311" s="20"/>
      <x:c r="T311" s="22" t="str">
        <x:f>IF(K311="","",IFERROR(VLOOKUP(K311,Listas!$G$2:$J$8,4,FALSE),0))</x:f>
      </x:c>
      <x:c r="U311" s="23" t="n">
        <x:f>IFERROR(H311/T311,0)</x:f>
        <x:v>0</x:v>
      </x:c>
      <x:c r="V311" s="20"/>
    </x:row>
    <x:row r="312">
      <x:c r="A312" s="20"/>
      <x:c r="B312" s="20"/>
      <x:c r="C312" s="21"/>
      <x:c r="D312" s="20"/>
      <x:c r="E312" s="20"/>
      <x:c r="F312" s="20"/>
      <x:c r="G312" s="22"/>
      <x:c r="H312" s="22"/>
      <x:c r="I312" s="22"/>
      <x:c r="J312" s="23"/>
      <x:c r="K312" s="20"/>
      <x:c r="L312" s="20"/>
      <x:c r="M312" s="21"/>
      <x:c r="N312" s="20"/>
      <x:c r="O312" s="24" t="str">
        <x:f>IF(C312="","",MAX(0,TODAY()-C312))</x:f>
      </x:c>
      <x:c r="P312" s="22" t="str">
        <x:f>IF(OR(G312="",J312=""),"",G312*J312)</x:f>
      </x:c>
      <x:c r="Q312" s="20"/>
      <x:c r="R312" s="20"/>
      <x:c r="S312" s="20"/>
      <x:c r="T312" s="22" t="str">
        <x:f>IF(K312="","",IFERROR(VLOOKUP(K312,Listas!$G$2:$J$8,4,FALSE),0))</x:f>
      </x:c>
      <x:c r="U312" s="23" t="n">
        <x:f>IFERROR(H312/T312,0)</x:f>
        <x:v>0</x:v>
      </x:c>
      <x:c r="V312" s="20"/>
    </x:row>
    <x:row r="313">
      <x:c r="A313" s="20"/>
      <x:c r="B313" s="20"/>
      <x:c r="C313" s="21"/>
      <x:c r="D313" s="20"/>
      <x:c r="E313" s="20"/>
      <x:c r="F313" s="20"/>
      <x:c r="G313" s="22"/>
      <x:c r="H313" s="22"/>
      <x:c r="I313" s="22"/>
      <x:c r="J313" s="23"/>
      <x:c r="K313" s="20"/>
      <x:c r="L313" s="20"/>
      <x:c r="M313" s="21"/>
      <x:c r="N313" s="20"/>
      <x:c r="O313" s="24" t="str">
        <x:f>IF(C313="","",MAX(0,TODAY()-C313))</x:f>
      </x:c>
      <x:c r="P313" s="22" t="str">
        <x:f>IF(OR(G313="",J313=""),"",G313*J313)</x:f>
      </x:c>
      <x:c r="Q313" s="20"/>
      <x:c r="R313" s="20"/>
      <x:c r="S313" s="20"/>
      <x:c r="T313" s="22" t="str">
        <x:f>IF(K313="","",IFERROR(VLOOKUP(K313,Listas!$G$2:$J$8,4,FALSE),0))</x:f>
      </x:c>
      <x:c r="U313" s="23" t="n">
        <x:f>IFERROR(H313/T313,0)</x:f>
        <x:v>0</x:v>
      </x:c>
      <x:c r="V313" s="20"/>
    </x:row>
    <x:row r="314">
      <x:c r="A314" s="20"/>
      <x:c r="B314" s="20"/>
      <x:c r="C314" s="21"/>
      <x:c r="D314" s="20"/>
      <x:c r="E314" s="20"/>
      <x:c r="F314" s="20"/>
      <x:c r="G314" s="22"/>
      <x:c r="H314" s="22"/>
      <x:c r="I314" s="22"/>
      <x:c r="J314" s="23"/>
      <x:c r="K314" s="20"/>
      <x:c r="L314" s="20"/>
      <x:c r="M314" s="21"/>
      <x:c r="N314" s="20"/>
      <x:c r="O314" s="24" t="str">
        <x:f>IF(C314="","",MAX(0,TODAY()-C314))</x:f>
      </x:c>
      <x:c r="P314" s="22" t="str">
        <x:f>IF(OR(G314="",J314=""),"",G314*J314)</x:f>
      </x:c>
      <x:c r="Q314" s="20"/>
      <x:c r="R314" s="20"/>
      <x:c r="S314" s="20"/>
      <x:c r="T314" s="22" t="str">
        <x:f>IF(K314="","",IFERROR(VLOOKUP(K314,Listas!$G$2:$J$8,4,FALSE),0))</x:f>
      </x:c>
      <x:c r="U314" s="23" t="n">
        <x:f>IFERROR(H314/T314,0)</x:f>
        <x:v>0</x:v>
      </x:c>
      <x:c r="V314" s="20"/>
    </x:row>
    <x:row r="315">
      <x:c r="A315" s="20"/>
      <x:c r="B315" s="20"/>
      <x:c r="C315" s="21"/>
      <x:c r="D315" s="20"/>
      <x:c r="E315" s="20"/>
      <x:c r="F315" s="20"/>
      <x:c r="G315" s="22"/>
      <x:c r="H315" s="22"/>
      <x:c r="I315" s="22"/>
      <x:c r="J315" s="23"/>
      <x:c r="K315" s="20"/>
      <x:c r="L315" s="20"/>
      <x:c r="M315" s="21"/>
      <x:c r="N315" s="20"/>
      <x:c r="O315" s="24" t="str">
        <x:f>IF(C315="","",MAX(0,TODAY()-C315))</x:f>
      </x:c>
      <x:c r="P315" s="22" t="str">
        <x:f>IF(OR(G315="",J315=""),"",G315*J315)</x:f>
      </x:c>
      <x:c r="Q315" s="20"/>
      <x:c r="R315" s="20"/>
      <x:c r="S315" s="20"/>
      <x:c r="T315" s="22" t="str">
        <x:f>IF(K315="","",IFERROR(VLOOKUP(K315,Listas!$G$2:$J$8,4,FALSE),0))</x:f>
      </x:c>
      <x:c r="U315" s="23" t="n">
        <x:f>IFERROR(H315/T315,0)</x:f>
        <x:v>0</x:v>
      </x:c>
      <x:c r="V315" s="20"/>
    </x:row>
    <x:row r="316">
      <x:c r="A316" s="20"/>
      <x:c r="B316" s="20"/>
      <x:c r="C316" s="21"/>
      <x:c r="D316" s="20"/>
      <x:c r="E316" s="20"/>
      <x:c r="F316" s="20"/>
      <x:c r="G316" s="22"/>
      <x:c r="H316" s="22"/>
      <x:c r="I316" s="22"/>
      <x:c r="J316" s="23"/>
      <x:c r="K316" s="20"/>
      <x:c r="L316" s="20"/>
      <x:c r="M316" s="21"/>
      <x:c r="N316" s="20"/>
      <x:c r="O316" s="24" t="str">
        <x:f>IF(C316="","",MAX(0,TODAY()-C316))</x:f>
      </x:c>
      <x:c r="P316" s="22" t="str">
        <x:f>IF(OR(G316="",J316=""),"",G316*J316)</x:f>
      </x:c>
      <x:c r="Q316" s="20"/>
      <x:c r="R316" s="20"/>
      <x:c r="S316" s="20"/>
      <x:c r="T316" s="22" t="str">
        <x:f>IF(K316="","",IFERROR(VLOOKUP(K316,Listas!$G$2:$J$8,4,FALSE),0))</x:f>
      </x:c>
      <x:c r="U316" s="23" t="n">
        <x:f>IFERROR(H316/T316,0)</x:f>
        <x:v>0</x:v>
      </x:c>
      <x:c r="V316" s="20"/>
    </x:row>
    <x:row r="317">
      <x:c r="A317" s="20"/>
      <x:c r="B317" s="20"/>
      <x:c r="C317" s="21"/>
      <x:c r="D317" s="20"/>
      <x:c r="E317" s="20"/>
      <x:c r="F317" s="20"/>
      <x:c r="G317" s="22"/>
      <x:c r="H317" s="22"/>
      <x:c r="I317" s="22"/>
      <x:c r="J317" s="23"/>
      <x:c r="K317" s="20"/>
      <x:c r="L317" s="20"/>
      <x:c r="M317" s="21"/>
      <x:c r="N317" s="20"/>
      <x:c r="O317" s="24" t="str">
        <x:f>IF(C317="","",MAX(0,TODAY()-C317))</x:f>
      </x:c>
      <x:c r="P317" s="22" t="str">
        <x:f>IF(OR(G317="",J317=""),"",G317*J317)</x:f>
      </x:c>
      <x:c r="Q317" s="20"/>
      <x:c r="R317" s="20"/>
      <x:c r="S317" s="20"/>
      <x:c r="T317" s="22" t="str">
        <x:f>IF(K317="","",IFERROR(VLOOKUP(K317,Listas!$G$2:$J$8,4,FALSE),0))</x:f>
      </x:c>
      <x:c r="U317" s="23" t="n">
        <x:f>IFERROR(H317/T317,0)</x:f>
        <x:v>0</x:v>
      </x:c>
      <x:c r="V317" s="20"/>
    </x:row>
    <x:row r="318">
      <x:c r="A318" s="20"/>
      <x:c r="B318" s="20"/>
      <x:c r="C318" s="21"/>
      <x:c r="D318" s="20"/>
      <x:c r="E318" s="20"/>
      <x:c r="F318" s="20"/>
      <x:c r="G318" s="22"/>
      <x:c r="H318" s="22"/>
      <x:c r="I318" s="22"/>
      <x:c r="J318" s="23"/>
      <x:c r="K318" s="20"/>
      <x:c r="L318" s="20"/>
      <x:c r="M318" s="21"/>
      <x:c r="N318" s="20"/>
      <x:c r="O318" s="24" t="str">
        <x:f>IF(C318="","",MAX(0,TODAY()-C318))</x:f>
      </x:c>
      <x:c r="P318" s="22" t="str">
        <x:f>IF(OR(G318="",J318=""),"",G318*J318)</x:f>
      </x:c>
      <x:c r="Q318" s="20"/>
      <x:c r="R318" s="20"/>
      <x:c r="S318" s="20"/>
      <x:c r="T318" s="22" t="str">
        <x:f>IF(K318="","",IFERROR(VLOOKUP(K318,Listas!$G$2:$J$8,4,FALSE),0))</x:f>
      </x:c>
      <x:c r="U318" s="23" t="n">
        <x:f>IFERROR(H318/T318,0)</x:f>
        <x:v>0</x:v>
      </x:c>
      <x:c r="V318" s="20"/>
    </x:row>
    <x:row r="319">
      <x:c r="A319" s="20"/>
      <x:c r="B319" s="20"/>
      <x:c r="C319" s="21"/>
      <x:c r="D319" s="20"/>
      <x:c r="E319" s="20"/>
      <x:c r="F319" s="20"/>
      <x:c r="G319" s="22"/>
      <x:c r="H319" s="22"/>
      <x:c r="I319" s="22"/>
      <x:c r="J319" s="23"/>
      <x:c r="K319" s="20"/>
      <x:c r="L319" s="20"/>
      <x:c r="M319" s="21"/>
      <x:c r="N319" s="20"/>
      <x:c r="O319" s="24" t="str">
        <x:f>IF(C319="","",MAX(0,TODAY()-C319))</x:f>
      </x:c>
      <x:c r="P319" s="22" t="str">
        <x:f>IF(OR(G319="",J319=""),"",G319*J319)</x:f>
      </x:c>
      <x:c r="Q319" s="20"/>
      <x:c r="R319" s="20"/>
      <x:c r="S319" s="20"/>
      <x:c r="T319" s="22" t="str">
        <x:f>IF(K319="","",IFERROR(VLOOKUP(K319,Listas!$G$2:$J$8,4,FALSE),0))</x:f>
      </x:c>
      <x:c r="U319" s="23" t="n">
        <x:f>IFERROR(H319/T319,0)</x:f>
        <x:v>0</x:v>
      </x:c>
      <x:c r="V319" s="20"/>
    </x:row>
    <x:row r="320">
      <x:c r="A320" s="20"/>
      <x:c r="B320" s="20"/>
      <x:c r="C320" s="21"/>
      <x:c r="D320" s="20"/>
      <x:c r="E320" s="20"/>
      <x:c r="F320" s="20"/>
      <x:c r="G320" s="22"/>
      <x:c r="H320" s="22"/>
      <x:c r="I320" s="22"/>
      <x:c r="J320" s="23"/>
      <x:c r="K320" s="20"/>
      <x:c r="L320" s="20"/>
      <x:c r="M320" s="21"/>
      <x:c r="N320" s="20"/>
      <x:c r="O320" s="24" t="str">
        <x:f>IF(C320="","",MAX(0,TODAY()-C320))</x:f>
      </x:c>
      <x:c r="P320" s="22" t="str">
        <x:f>IF(OR(G320="",J320=""),"",G320*J320)</x:f>
      </x:c>
      <x:c r="Q320" s="20"/>
      <x:c r="R320" s="20"/>
      <x:c r="S320" s="20"/>
      <x:c r="T320" s="22" t="str">
        <x:f>IF(K320="","",IFERROR(VLOOKUP(K320,Listas!$G$2:$J$8,4,FALSE),0))</x:f>
      </x:c>
      <x:c r="U320" s="23" t="n">
        <x:f>IFERROR(H320/T320,0)</x:f>
        <x:v>0</x:v>
      </x:c>
      <x:c r="V320" s="20"/>
    </x:row>
    <x:row r="321">
      <x:c r="A321" s="20"/>
      <x:c r="B321" s="20"/>
      <x:c r="C321" s="21"/>
      <x:c r="D321" s="20"/>
      <x:c r="E321" s="20"/>
      <x:c r="F321" s="20"/>
      <x:c r="G321" s="22"/>
      <x:c r="H321" s="22"/>
      <x:c r="I321" s="22"/>
      <x:c r="J321" s="23"/>
      <x:c r="K321" s="20"/>
      <x:c r="L321" s="20"/>
      <x:c r="M321" s="21"/>
      <x:c r="N321" s="20"/>
      <x:c r="O321" s="24" t="str">
        <x:f>IF(C321="","",MAX(0,TODAY()-C321))</x:f>
      </x:c>
      <x:c r="P321" s="22" t="str">
        <x:f>IF(OR(G321="",J321=""),"",G321*J321)</x:f>
      </x:c>
      <x:c r="Q321" s="20"/>
      <x:c r="R321" s="20"/>
      <x:c r="S321" s="20"/>
      <x:c r="T321" s="22" t="str">
        <x:f>IF(K321="","",IFERROR(VLOOKUP(K321,Listas!$G$2:$J$8,4,FALSE),0))</x:f>
      </x:c>
      <x:c r="U321" s="23" t="n">
        <x:f>IFERROR(H321/T321,0)</x:f>
        <x:v>0</x:v>
      </x:c>
      <x:c r="V321" s="20"/>
    </x:row>
    <x:row r="322">
      <x:c r="A322" s="20"/>
      <x:c r="B322" s="20"/>
      <x:c r="C322" s="21"/>
      <x:c r="D322" s="20"/>
      <x:c r="E322" s="20"/>
      <x:c r="F322" s="20"/>
      <x:c r="G322" s="22"/>
      <x:c r="H322" s="22"/>
      <x:c r="I322" s="22"/>
      <x:c r="J322" s="23"/>
      <x:c r="K322" s="20"/>
      <x:c r="L322" s="20"/>
      <x:c r="M322" s="21"/>
      <x:c r="N322" s="20"/>
      <x:c r="O322" s="24" t="str">
        <x:f>IF(C322="","",MAX(0,TODAY()-C322))</x:f>
      </x:c>
      <x:c r="P322" s="22" t="str">
        <x:f>IF(OR(G322="",J322=""),"",G322*J322)</x:f>
      </x:c>
      <x:c r="Q322" s="20"/>
      <x:c r="R322" s="20"/>
      <x:c r="S322" s="20"/>
      <x:c r="T322" s="22" t="str">
        <x:f>IF(K322="","",IFERROR(VLOOKUP(K322,Listas!$G$2:$J$8,4,FALSE),0))</x:f>
      </x:c>
      <x:c r="U322" s="23" t="n">
        <x:f>IFERROR(H322/T322,0)</x:f>
        <x:v>0</x:v>
      </x:c>
      <x:c r="V322" s="20"/>
    </x:row>
    <x:row r="323">
      <x:c r="A323" s="20"/>
      <x:c r="B323" s="20"/>
      <x:c r="C323" s="21"/>
      <x:c r="D323" s="20"/>
      <x:c r="E323" s="20"/>
      <x:c r="F323" s="20"/>
      <x:c r="G323" s="22"/>
      <x:c r="H323" s="22"/>
      <x:c r="I323" s="22"/>
      <x:c r="J323" s="23"/>
      <x:c r="K323" s="20"/>
      <x:c r="L323" s="20"/>
      <x:c r="M323" s="21"/>
      <x:c r="N323" s="20"/>
      <x:c r="O323" s="24" t="str">
        <x:f>IF(C323="","",MAX(0,TODAY()-C323))</x:f>
      </x:c>
      <x:c r="P323" s="22" t="str">
        <x:f>IF(OR(G323="",J323=""),"",G323*J323)</x:f>
      </x:c>
      <x:c r="Q323" s="20"/>
      <x:c r="R323" s="20"/>
      <x:c r="S323" s="20"/>
      <x:c r="T323" s="22" t="str">
        <x:f>IF(K323="","",IFERROR(VLOOKUP(K323,Listas!$G$2:$J$8,4,FALSE),0))</x:f>
      </x:c>
      <x:c r="U323" s="23" t="n">
        <x:f>IFERROR(H323/T323,0)</x:f>
        <x:v>0</x:v>
      </x:c>
      <x:c r="V323" s="20"/>
    </x:row>
    <x:row r="324">
      <x:c r="A324" s="20"/>
      <x:c r="B324" s="20"/>
      <x:c r="C324" s="21"/>
      <x:c r="D324" s="20"/>
      <x:c r="E324" s="20"/>
      <x:c r="F324" s="20"/>
      <x:c r="G324" s="22"/>
      <x:c r="H324" s="22"/>
      <x:c r="I324" s="22"/>
      <x:c r="J324" s="23"/>
      <x:c r="K324" s="20"/>
      <x:c r="L324" s="20"/>
      <x:c r="M324" s="21"/>
      <x:c r="N324" s="20"/>
      <x:c r="O324" s="24" t="str">
        <x:f>IF(C324="","",MAX(0,TODAY()-C324))</x:f>
      </x:c>
      <x:c r="P324" s="22" t="str">
        <x:f>IF(OR(G324="",J324=""),"",G324*J324)</x:f>
      </x:c>
      <x:c r="Q324" s="20"/>
      <x:c r="R324" s="20"/>
      <x:c r="S324" s="20"/>
      <x:c r="T324" s="22" t="str">
        <x:f>IF(K324="","",IFERROR(VLOOKUP(K324,Listas!$G$2:$J$8,4,FALSE),0))</x:f>
      </x:c>
      <x:c r="U324" s="23" t="n">
        <x:f>IFERROR(H324/T324,0)</x:f>
        <x:v>0</x:v>
      </x:c>
      <x:c r="V324" s="20"/>
    </x:row>
    <x:row r="325">
      <x:c r="A325" s="20"/>
      <x:c r="B325" s="20"/>
      <x:c r="C325" s="21"/>
      <x:c r="D325" s="20"/>
      <x:c r="E325" s="20"/>
      <x:c r="F325" s="20"/>
      <x:c r="G325" s="22"/>
      <x:c r="H325" s="22"/>
      <x:c r="I325" s="22"/>
      <x:c r="J325" s="23"/>
      <x:c r="K325" s="20"/>
      <x:c r="L325" s="20"/>
      <x:c r="M325" s="21"/>
      <x:c r="N325" s="20"/>
      <x:c r="O325" s="24" t="str">
        <x:f>IF(C325="","",MAX(0,TODAY()-C325))</x:f>
      </x:c>
      <x:c r="P325" s="22" t="str">
        <x:f>IF(OR(G325="",J325=""),"",G325*J325)</x:f>
      </x:c>
      <x:c r="Q325" s="20"/>
      <x:c r="R325" s="20"/>
      <x:c r="S325" s="20"/>
      <x:c r="T325" s="22" t="str">
        <x:f>IF(K325="","",IFERROR(VLOOKUP(K325,Listas!$G$2:$J$8,4,FALSE),0))</x:f>
      </x:c>
      <x:c r="U325" s="23" t="n">
        <x:f>IFERROR(H325/T325,0)</x:f>
        <x:v>0</x:v>
      </x:c>
      <x:c r="V325" s="20"/>
    </x:row>
    <x:row r="326">
      <x:c r="A326" s="20"/>
      <x:c r="B326" s="20"/>
      <x:c r="C326" s="21"/>
      <x:c r="D326" s="20"/>
      <x:c r="E326" s="20"/>
      <x:c r="F326" s="20"/>
      <x:c r="G326" s="22"/>
      <x:c r="H326" s="22"/>
      <x:c r="I326" s="22"/>
      <x:c r="J326" s="23"/>
      <x:c r="K326" s="20"/>
      <x:c r="L326" s="20"/>
      <x:c r="M326" s="21"/>
      <x:c r="N326" s="20"/>
      <x:c r="O326" s="24" t="str">
        <x:f>IF(C326="","",MAX(0,TODAY()-C326))</x:f>
      </x:c>
      <x:c r="P326" s="22" t="str">
        <x:f>IF(OR(G326="",J326=""),"",G326*J326)</x:f>
      </x:c>
      <x:c r="Q326" s="20"/>
      <x:c r="R326" s="20"/>
      <x:c r="S326" s="20"/>
      <x:c r="T326" s="22" t="str">
        <x:f>IF(K326="","",IFERROR(VLOOKUP(K326,Listas!$G$2:$J$8,4,FALSE),0))</x:f>
      </x:c>
      <x:c r="U326" s="23" t="n">
        <x:f>IFERROR(H326/T326,0)</x:f>
        <x:v>0</x:v>
      </x:c>
      <x:c r="V326" s="20"/>
    </x:row>
    <x:row r="327">
      <x:c r="A327" s="20"/>
      <x:c r="B327" s="20"/>
      <x:c r="C327" s="21"/>
      <x:c r="D327" s="20"/>
      <x:c r="E327" s="20"/>
      <x:c r="F327" s="20"/>
      <x:c r="G327" s="22"/>
      <x:c r="H327" s="22"/>
      <x:c r="I327" s="22"/>
      <x:c r="J327" s="23"/>
      <x:c r="K327" s="20"/>
      <x:c r="L327" s="20"/>
      <x:c r="M327" s="21"/>
      <x:c r="N327" s="20"/>
      <x:c r="O327" s="24" t="str">
        <x:f>IF(C327="","",MAX(0,TODAY()-C327))</x:f>
      </x:c>
      <x:c r="P327" s="22" t="str">
        <x:f>IF(OR(G327="",J327=""),"",G327*J327)</x:f>
      </x:c>
      <x:c r="Q327" s="20"/>
      <x:c r="R327" s="20"/>
      <x:c r="S327" s="20"/>
      <x:c r="T327" s="22" t="str">
        <x:f>IF(K327="","",IFERROR(VLOOKUP(K327,Listas!$G$2:$J$8,4,FALSE),0))</x:f>
      </x:c>
      <x:c r="U327" s="23" t="n">
        <x:f>IFERROR(H327/T327,0)</x:f>
        <x:v>0</x:v>
      </x:c>
      <x:c r="V327" s="20"/>
    </x:row>
    <x:row r="328">
      <x:c r="A328" s="20"/>
      <x:c r="B328" s="20"/>
      <x:c r="C328" s="21"/>
      <x:c r="D328" s="20"/>
      <x:c r="E328" s="20"/>
      <x:c r="F328" s="20"/>
      <x:c r="G328" s="22"/>
      <x:c r="H328" s="22"/>
      <x:c r="I328" s="22"/>
      <x:c r="J328" s="23"/>
      <x:c r="K328" s="20"/>
      <x:c r="L328" s="20"/>
      <x:c r="M328" s="21"/>
      <x:c r="N328" s="20"/>
      <x:c r="O328" s="24" t="str">
        <x:f>IF(C328="","",MAX(0,TODAY()-C328))</x:f>
      </x:c>
      <x:c r="P328" s="22" t="str">
        <x:f>IF(OR(G328="",J328=""),"",G328*J328)</x:f>
      </x:c>
      <x:c r="Q328" s="20"/>
      <x:c r="R328" s="20"/>
      <x:c r="S328" s="20"/>
      <x:c r="T328" s="22" t="str">
        <x:f>IF(K328="","",IFERROR(VLOOKUP(K328,Listas!$G$2:$J$8,4,FALSE),0))</x:f>
      </x:c>
      <x:c r="U328" s="23" t="n">
        <x:f>IFERROR(H328/T328,0)</x:f>
        <x:v>0</x:v>
      </x:c>
      <x:c r="V328" s="20"/>
    </x:row>
    <x:row r="329">
      <x:c r="A329" s="20"/>
      <x:c r="B329" s="20"/>
      <x:c r="C329" s="21"/>
      <x:c r="D329" s="20"/>
      <x:c r="E329" s="20"/>
      <x:c r="F329" s="20"/>
      <x:c r="G329" s="22"/>
      <x:c r="H329" s="22"/>
      <x:c r="I329" s="22"/>
      <x:c r="J329" s="23"/>
      <x:c r="K329" s="20"/>
      <x:c r="L329" s="20"/>
      <x:c r="M329" s="21"/>
      <x:c r="N329" s="20"/>
      <x:c r="O329" s="24" t="str">
        <x:f>IF(C329="","",MAX(0,TODAY()-C329))</x:f>
      </x:c>
      <x:c r="P329" s="22" t="str">
        <x:f>IF(OR(G329="",J329=""),"",G329*J329)</x:f>
      </x:c>
      <x:c r="Q329" s="20"/>
      <x:c r="R329" s="20"/>
      <x:c r="S329" s="20"/>
      <x:c r="T329" s="22" t="str">
        <x:f>IF(K329="","",IFERROR(VLOOKUP(K329,Listas!$G$2:$J$8,4,FALSE),0))</x:f>
      </x:c>
      <x:c r="U329" s="23" t="n">
        <x:f>IFERROR(H329/T329,0)</x:f>
        <x:v>0</x:v>
      </x:c>
      <x:c r="V329" s="20"/>
    </x:row>
    <x:row r="330">
      <x:c r="A330" s="20"/>
      <x:c r="B330" s="20"/>
      <x:c r="C330" s="21"/>
      <x:c r="D330" s="20"/>
      <x:c r="E330" s="20"/>
      <x:c r="F330" s="20"/>
      <x:c r="G330" s="22"/>
      <x:c r="H330" s="22"/>
      <x:c r="I330" s="22"/>
      <x:c r="J330" s="23"/>
      <x:c r="K330" s="20"/>
      <x:c r="L330" s="20"/>
      <x:c r="M330" s="21"/>
      <x:c r="N330" s="20"/>
      <x:c r="O330" s="24" t="str">
        <x:f>IF(C330="","",MAX(0,TODAY()-C330))</x:f>
      </x:c>
      <x:c r="P330" s="22" t="str">
        <x:f>IF(OR(G330="",J330=""),"",G330*J330)</x:f>
      </x:c>
      <x:c r="Q330" s="20"/>
      <x:c r="R330" s="20"/>
      <x:c r="S330" s="20"/>
      <x:c r="T330" s="22" t="str">
        <x:f>IF(K330="","",IFERROR(VLOOKUP(K330,Listas!$G$2:$J$8,4,FALSE),0))</x:f>
      </x:c>
      <x:c r="U330" s="23" t="n">
        <x:f>IFERROR(H330/T330,0)</x:f>
        <x:v>0</x:v>
      </x:c>
      <x:c r="V330" s="20"/>
    </x:row>
    <x:row r="331">
      <x:c r="A331" s="20"/>
      <x:c r="B331" s="20"/>
      <x:c r="C331" s="21"/>
      <x:c r="D331" s="20"/>
      <x:c r="E331" s="20"/>
      <x:c r="F331" s="20"/>
      <x:c r="G331" s="22"/>
      <x:c r="H331" s="22"/>
      <x:c r="I331" s="22"/>
      <x:c r="J331" s="23"/>
      <x:c r="K331" s="20"/>
      <x:c r="L331" s="20"/>
      <x:c r="M331" s="21"/>
      <x:c r="N331" s="20"/>
      <x:c r="O331" s="24" t="str">
        <x:f>IF(C331="","",MAX(0,TODAY()-C331))</x:f>
      </x:c>
      <x:c r="P331" s="22" t="str">
        <x:f>IF(OR(G331="",J331=""),"",G331*J331)</x:f>
      </x:c>
      <x:c r="Q331" s="20"/>
      <x:c r="R331" s="20"/>
      <x:c r="S331" s="20"/>
      <x:c r="T331" s="22" t="str">
        <x:f>IF(K331="","",IFERROR(VLOOKUP(K331,Listas!$G$2:$J$8,4,FALSE),0))</x:f>
      </x:c>
      <x:c r="U331" s="23" t="n">
        <x:f>IFERROR(H331/T331,0)</x:f>
        <x:v>0</x:v>
      </x:c>
      <x:c r="V331" s="20"/>
    </x:row>
    <x:row r="332">
      <x:c r="A332" s="20"/>
      <x:c r="B332" s="20"/>
      <x:c r="C332" s="21"/>
      <x:c r="D332" s="20"/>
      <x:c r="E332" s="20"/>
      <x:c r="F332" s="20"/>
      <x:c r="G332" s="22"/>
      <x:c r="H332" s="22"/>
      <x:c r="I332" s="22"/>
      <x:c r="J332" s="23"/>
      <x:c r="K332" s="20"/>
      <x:c r="L332" s="20"/>
      <x:c r="M332" s="21"/>
      <x:c r="N332" s="20"/>
      <x:c r="O332" s="24" t="str">
        <x:f>IF(C332="","",MAX(0,TODAY()-C332))</x:f>
      </x:c>
      <x:c r="P332" s="22" t="str">
        <x:f>IF(OR(G332="",J332=""),"",G332*J332)</x:f>
      </x:c>
      <x:c r="Q332" s="20"/>
      <x:c r="R332" s="20"/>
      <x:c r="S332" s="20"/>
      <x:c r="T332" s="22" t="str">
        <x:f>IF(K332="","",IFERROR(VLOOKUP(K332,Listas!$G$2:$J$8,4,FALSE),0))</x:f>
      </x:c>
      <x:c r="U332" s="23" t="n">
        <x:f>IFERROR(H332/T332,0)</x:f>
        <x:v>0</x:v>
      </x:c>
      <x:c r="V332" s="20"/>
    </x:row>
    <x:row r="333">
      <x:c r="A333" s="20"/>
      <x:c r="B333" s="20"/>
      <x:c r="C333" s="21"/>
      <x:c r="D333" s="20"/>
      <x:c r="E333" s="20"/>
      <x:c r="F333" s="20"/>
      <x:c r="G333" s="22"/>
      <x:c r="H333" s="22"/>
      <x:c r="I333" s="22"/>
      <x:c r="J333" s="23"/>
      <x:c r="K333" s="20"/>
      <x:c r="L333" s="20"/>
      <x:c r="M333" s="21"/>
      <x:c r="N333" s="20"/>
      <x:c r="O333" s="24" t="str">
        <x:f>IF(C333="","",MAX(0,TODAY()-C333))</x:f>
      </x:c>
      <x:c r="P333" s="22" t="str">
        <x:f>IF(OR(G333="",J333=""),"",G333*J333)</x:f>
      </x:c>
      <x:c r="Q333" s="20"/>
      <x:c r="R333" s="20"/>
      <x:c r="S333" s="20"/>
      <x:c r="T333" s="22" t="str">
        <x:f>IF(K333="","",IFERROR(VLOOKUP(K333,Listas!$G$2:$J$8,4,FALSE),0))</x:f>
      </x:c>
      <x:c r="U333" s="23" t="n">
        <x:f>IFERROR(H333/T333,0)</x:f>
        <x:v>0</x:v>
      </x:c>
      <x:c r="V333" s="20"/>
    </x:row>
    <x:row r="334">
      <x:c r="A334" s="20"/>
      <x:c r="B334" s="20"/>
      <x:c r="C334" s="21"/>
      <x:c r="D334" s="20"/>
      <x:c r="E334" s="20"/>
      <x:c r="F334" s="20"/>
      <x:c r="G334" s="22"/>
      <x:c r="H334" s="22"/>
      <x:c r="I334" s="22"/>
      <x:c r="J334" s="23"/>
      <x:c r="K334" s="20"/>
      <x:c r="L334" s="20"/>
      <x:c r="M334" s="21"/>
      <x:c r="N334" s="20"/>
      <x:c r="O334" s="24" t="str">
        <x:f>IF(C334="","",MAX(0,TODAY()-C334))</x:f>
      </x:c>
      <x:c r="P334" s="22" t="str">
        <x:f>IF(OR(G334="",J334=""),"",G334*J334)</x:f>
      </x:c>
      <x:c r="Q334" s="20"/>
      <x:c r="R334" s="20"/>
      <x:c r="S334" s="20"/>
      <x:c r="T334" s="22" t="str">
        <x:f>IF(K334="","",IFERROR(VLOOKUP(K334,Listas!$G$2:$J$8,4,FALSE),0))</x:f>
      </x:c>
      <x:c r="U334" s="23" t="n">
        <x:f>IFERROR(H334/T334,0)</x:f>
        <x:v>0</x:v>
      </x:c>
      <x:c r="V334" s="20"/>
    </x:row>
    <x:row r="335">
      <x:c r="A335" s="20"/>
      <x:c r="B335" s="20"/>
      <x:c r="C335" s="21"/>
      <x:c r="D335" s="20"/>
      <x:c r="E335" s="20"/>
      <x:c r="F335" s="20"/>
      <x:c r="G335" s="22"/>
      <x:c r="H335" s="22"/>
      <x:c r="I335" s="22"/>
      <x:c r="J335" s="23"/>
      <x:c r="K335" s="20"/>
      <x:c r="L335" s="20"/>
      <x:c r="M335" s="21"/>
      <x:c r="N335" s="20"/>
      <x:c r="O335" s="24" t="str">
        <x:f>IF(C335="","",MAX(0,TODAY()-C335))</x:f>
      </x:c>
      <x:c r="P335" s="22" t="str">
        <x:f>IF(OR(G335="",J335=""),"",G335*J335)</x:f>
      </x:c>
      <x:c r="Q335" s="20"/>
      <x:c r="R335" s="20"/>
      <x:c r="S335" s="20"/>
      <x:c r="T335" s="22" t="str">
        <x:f>IF(K335="","",IFERROR(VLOOKUP(K335,Listas!$G$2:$J$8,4,FALSE),0))</x:f>
      </x:c>
      <x:c r="U335" s="23" t="n">
        <x:f>IFERROR(H335/T335,0)</x:f>
        <x:v>0</x:v>
      </x:c>
      <x:c r="V335" s="20"/>
    </x:row>
    <x:row r="336">
      <x:c r="A336" s="20"/>
      <x:c r="B336" s="20"/>
      <x:c r="C336" s="21"/>
      <x:c r="D336" s="20"/>
      <x:c r="E336" s="20"/>
      <x:c r="F336" s="20"/>
      <x:c r="G336" s="22"/>
      <x:c r="H336" s="22"/>
      <x:c r="I336" s="22"/>
      <x:c r="J336" s="23"/>
      <x:c r="K336" s="20"/>
      <x:c r="L336" s="20"/>
      <x:c r="M336" s="21"/>
      <x:c r="N336" s="20"/>
      <x:c r="O336" s="24" t="str">
        <x:f>IF(C336="","",MAX(0,TODAY()-C336))</x:f>
      </x:c>
      <x:c r="P336" s="22" t="str">
        <x:f>IF(OR(G336="",J336=""),"",G336*J336)</x:f>
      </x:c>
      <x:c r="Q336" s="20"/>
      <x:c r="R336" s="20"/>
      <x:c r="S336" s="20"/>
      <x:c r="T336" s="22" t="str">
        <x:f>IF(K336="","",IFERROR(VLOOKUP(K336,Listas!$G$2:$J$8,4,FALSE),0))</x:f>
      </x:c>
      <x:c r="U336" s="23" t="n">
        <x:f>IFERROR(H336/T336,0)</x:f>
        <x:v>0</x:v>
      </x:c>
      <x:c r="V336" s="20"/>
    </x:row>
    <x:row r="337">
      <x:c r="A337" s="20"/>
      <x:c r="B337" s="20"/>
      <x:c r="C337" s="21"/>
      <x:c r="D337" s="20"/>
      <x:c r="E337" s="20"/>
      <x:c r="F337" s="20"/>
      <x:c r="G337" s="22"/>
      <x:c r="H337" s="22"/>
      <x:c r="I337" s="22"/>
      <x:c r="J337" s="23"/>
      <x:c r="K337" s="20"/>
      <x:c r="L337" s="20"/>
      <x:c r="M337" s="21"/>
      <x:c r="N337" s="20"/>
      <x:c r="O337" s="24" t="str">
        <x:f>IF(C337="","",MAX(0,TODAY()-C337))</x:f>
      </x:c>
      <x:c r="P337" s="22" t="str">
        <x:f>IF(OR(G337="",J337=""),"",G337*J337)</x:f>
      </x:c>
      <x:c r="Q337" s="20"/>
      <x:c r="R337" s="20"/>
      <x:c r="S337" s="20"/>
      <x:c r="T337" s="22" t="str">
        <x:f>IF(K337="","",IFERROR(VLOOKUP(K337,Listas!$G$2:$J$8,4,FALSE),0))</x:f>
      </x:c>
      <x:c r="U337" s="23" t="n">
        <x:f>IFERROR(H337/T337,0)</x:f>
        <x:v>0</x:v>
      </x:c>
      <x:c r="V337" s="20"/>
    </x:row>
    <x:row r="338">
      <x:c r="A338" s="20"/>
      <x:c r="B338" s="20"/>
      <x:c r="C338" s="21"/>
      <x:c r="D338" s="20"/>
      <x:c r="E338" s="20"/>
      <x:c r="F338" s="20"/>
      <x:c r="G338" s="22"/>
      <x:c r="H338" s="22"/>
      <x:c r="I338" s="22"/>
      <x:c r="J338" s="23"/>
      <x:c r="K338" s="20"/>
      <x:c r="L338" s="20"/>
      <x:c r="M338" s="21"/>
      <x:c r="N338" s="20"/>
      <x:c r="O338" s="24" t="str">
        <x:f>IF(C338="","",MAX(0,TODAY()-C338))</x:f>
      </x:c>
      <x:c r="P338" s="22" t="str">
        <x:f>IF(OR(G338="",J338=""),"",G338*J338)</x:f>
      </x:c>
      <x:c r="Q338" s="20"/>
      <x:c r="R338" s="20"/>
      <x:c r="S338" s="20"/>
      <x:c r="T338" s="22" t="str">
        <x:f>IF(K338="","",IFERROR(VLOOKUP(K338,Listas!$G$2:$J$8,4,FALSE),0))</x:f>
      </x:c>
      <x:c r="U338" s="23" t="n">
        <x:f>IFERROR(H338/T338,0)</x:f>
        <x:v>0</x:v>
      </x:c>
      <x:c r="V338" s="20"/>
    </x:row>
    <x:row r="339">
      <x:c r="A339" s="20"/>
      <x:c r="B339" s="20"/>
      <x:c r="C339" s="21"/>
      <x:c r="D339" s="20"/>
      <x:c r="E339" s="20"/>
      <x:c r="F339" s="20"/>
      <x:c r="G339" s="22"/>
      <x:c r="H339" s="22"/>
      <x:c r="I339" s="22"/>
      <x:c r="J339" s="23"/>
      <x:c r="K339" s="20"/>
      <x:c r="L339" s="20"/>
      <x:c r="M339" s="21"/>
      <x:c r="N339" s="20"/>
      <x:c r="O339" s="24" t="str">
        <x:f>IF(C339="","",MAX(0,TODAY()-C339))</x:f>
      </x:c>
      <x:c r="P339" s="22" t="str">
        <x:f>IF(OR(G339="",J339=""),"",G339*J339)</x:f>
      </x:c>
      <x:c r="Q339" s="20"/>
      <x:c r="R339" s="20"/>
      <x:c r="S339" s="20"/>
      <x:c r="T339" s="22" t="str">
        <x:f>IF(K339="","",IFERROR(VLOOKUP(K339,Listas!$G$2:$J$8,4,FALSE),0))</x:f>
      </x:c>
      <x:c r="U339" s="23" t="n">
        <x:f>IFERROR(H339/T339,0)</x:f>
        <x:v>0</x:v>
      </x:c>
      <x:c r="V339" s="20"/>
    </x:row>
    <x:row r="340">
      <x:c r="A340" s="20"/>
      <x:c r="B340" s="20"/>
      <x:c r="C340" s="21"/>
      <x:c r="D340" s="20"/>
      <x:c r="E340" s="20"/>
      <x:c r="F340" s="20"/>
      <x:c r="G340" s="22"/>
      <x:c r="H340" s="22"/>
      <x:c r="I340" s="22"/>
      <x:c r="J340" s="23"/>
      <x:c r="K340" s="20"/>
      <x:c r="L340" s="20"/>
      <x:c r="M340" s="21"/>
      <x:c r="N340" s="20"/>
      <x:c r="O340" s="24" t="str">
        <x:f>IF(C340="","",MAX(0,TODAY()-C340))</x:f>
      </x:c>
      <x:c r="P340" s="22" t="str">
        <x:f>IF(OR(G340="",J340=""),"",G340*J340)</x:f>
      </x:c>
      <x:c r="Q340" s="20"/>
      <x:c r="R340" s="20"/>
      <x:c r="S340" s="20"/>
      <x:c r="T340" s="22" t="str">
        <x:f>IF(K340="","",IFERROR(VLOOKUP(K340,Listas!$G$2:$J$8,4,FALSE),0))</x:f>
      </x:c>
      <x:c r="U340" s="23" t="n">
        <x:f>IFERROR(H340/T340,0)</x:f>
        <x:v>0</x:v>
      </x:c>
      <x:c r="V340" s="20"/>
    </x:row>
    <x:row r="341">
      <x:c r="A341" s="20"/>
      <x:c r="B341" s="20"/>
      <x:c r="C341" s="21"/>
      <x:c r="D341" s="20"/>
      <x:c r="E341" s="20"/>
      <x:c r="F341" s="20"/>
      <x:c r="G341" s="22"/>
      <x:c r="H341" s="22"/>
      <x:c r="I341" s="22"/>
      <x:c r="J341" s="23"/>
      <x:c r="K341" s="20"/>
      <x:c r="L341" s="20"/>
      <x:c r="M341" s="21"/>
      <x:c r="N341" s="20"/>
      <x:c r="O341" s="24" t="str">
        <x:f>IF(C341="","",MAX(0,TODAY()-C341))</x:f>
      </x:c>
      <x:c r="P341" s="22" t="str">
        <x:f>IF(OR(G341="",J341=""),"",G341*J341)</x:f>
      </x:c>
      <x:c r="Q341" s="20"/>
      <x:c r="R341" s="20"/>
      <x:c r="S341" s="20"/>
      <x:c r="T341" s="22" t="str">
        <x:f>IF(K341="","",IFERROR(VLOOKUP(K341,Listas!$G$2:$J$8,4,FALSE),0))</x:f>
      </x:c>
      <x:c r="U341" s="23" t="n">
        <x:f>IFERROR(H341/T341,0)</x:f>
        <x:v>0</x:v>
      </x:c>
      <x:c r="V341" s="20"/>
    </x:row>
    <x:row r="342">
      <x:c r="A342" s="20"/>
      <x:c r="B342" s="20"/>
      <x:c r="C342" s="21"/>
      <x:c r="D342" s="20"/>
      <x:c r="E342" s="20"/>
      <x:c r="F342" s="20"/>
      <x:c r="G342" s="22"/>
      <x:c r="H342" s="22"/>
      <x:c r="I342" s="22"/>
      <x:c r="J342" s="23"/>
      <x:c r="K342" s="20"/>
      <x:c r="L342" s="20"/>
      <x:c r="M342" s="21"/>
      <x:c r="N342" s="20"/>
      <x:c r="O342" s="24" t="str">
        <x:f>IF(C342="","",MAX(0,TODAY()-C342))</x:f>
      </x:c>
      <x:c r="P342" s="22" t="str">
        <x:f>IF(OR(G342="",J342=""),"",G342*J342)</x:f>
      </x:c>
      <x:c r="Q342" s="20"/>
      <x:c r="R342" s="20"/>
      <x:c r="S342" s="20"/>
      <x:c r="T342" s="22" t="str">
        <x:f>IF(K342="","",IFERROR(VLOOKUP(K342,Listas!$G$2:$J$8,4,FALSE),0))</x:f>
      </x:c>
      <x:c r="U342" s="23" t="n">
        <x:f>IFERROR(H342/T342,0)</x:f>
        <x:v>0</x:v>
      </x:c>
      <x:c r="V342" s="20"/>
    </x:row>
    <x:row r="343">
      <x:c r="A343" s="20"/>
      <x:c r="B343" s="20"/>
      <x:c r="C343" s="21"/>
      <x:c r="D343" s="20"/>
      <x:c r="E343" s="20"/>
      <x:c r="F343" s="20"/>
      <x:c r="G343" s="22"/>
      <x:c r="H343" s="22"/>
      <x:c r="I343" s="22"/>
      <x:c r="J343" s="23"/>
      <x:c r="K343" s="20"/>
      <x:c r="L343" s="20"/>
      <x:c r="M343" s="21"/>
      <x:c r="N343" s="20"/>
      <x:c r="O343" s="24" t="str">
        <x:f>IF(C343="","",MAX(0,TODAY()-C343))</x:f>
      </x:c>
      <x:c r="P343" s="22" t="str">
        <x:f>IF(OR(G343="",J343=""),"",G343*J343)</x:f>
      </x:c>
      <x:c r="Q343" s="20"/>
      <x:c r="R343" s="20"/>
      <x:c r="S343" s="20"/>
      <x:c r="T343" s="22" t="str">
        <x:f>IF(K343="","",IFERROR(VLOOKUP(K343,Listas!$G$2:$J$8,4,FALSE),0))</x:f>
      </x:c>
      <x:c r="U343" s="23" t="n">
        <x:f>IFERROR(H343/T343,0)</x:f>
        <x:v>0</x:v>
      </x:c>
      <x:c r="V343" s="20"/>
    </x:row>
    <x:row r="344">
      <x:c r="A344" s="20"/>
      <x:c r="B344" s="20"/>
      <x:c r="C344" s="21"/>
      <x:c r="D344" s="20"/>
      <x:c r="E344" s="20"/>
      <x:c r="F344" s="20"/>
      <x:c r="G344" s="22"/>
      <x:c r="H344" s="22"/>
      <x:c r="I344" s="22"/>
      <x:c r="J344" s="23"/>
      <x:c r="K344" s="20"/>
      <x:c r="L344" s="20"/>
      <x:c r="M344" s="21"/>
      <x:c r="N344" s="20"/>
      <x:c r="O344" s="24" t="str">
        <x:f>IF(C344="","",MAX(0,TODAY()-C344))</x:f>
      </x:c>
      <x:c r="P344" s="22" t="str">
        <x:f>IF(OR(G344="",J344=""),"",G344*J344)</x:f>
      </x:c>
      <x:c r="Q344" s="20"/>
      <x:c r="R344" s="20"/>
      <x:c r="S344" s="20"/>
      <x:c r="T344" s="22" t="str">
        <x:f>IF(K344="","",IFERROR(VLOOKUP(K344,Listas!$G$2:$J$8,4,FALSE),0))</x:f>
      </x:c>
      <x:c r="U344" s="23" t="n">
        <x:f>IFERROR(H344/T344,0)</x:f>
        <x:v>0</x:v>
      </x:c>
      <x:c r="V344" s="20"/>
    </x:row>
    <x:row r="345">
      <x:c r="A345" s="20"/>
      <x:c r="B345" s="20"/>
      <x:c r="C345" s="21"/>
      <x:c r="D345" s="20"/>
      <x:c r="E345" s="20"/>
      <x:c r="F345" s="20"/>
      <x:c r="G345" s="22"/>
      <x:c r="H345" s="22"/>
      <x:c r="I345" s="22"/>
      <x:c r="J345" s="23"/>
      <x:c r="K345" s="20"/>
      <x:c r="L345" s="20"/>
      <x:c r="M345" s="21"/>
      <x:c r="N345" s="20"/>
      <x:c r="O345" s="24" t="str">
        <x:f>IF(C345="","",MAX(0,TODAY()-C345))</x:f>
      </x:c>
      <x:c r="P345" s="22" t="str">
        <x:f>IF(OR(G345="",J345=""),"",G345*J345)</x:f>
      </x:c>
      <x:c r="Q345" s="20"/>
      <x:c r="R345" s="20"/>
      <x:c r="S345" s="20"/>
      <x:c r="T345" s="22" t="str">
        <x:f>IF(K345="","",IFERROR(VLOOKUP(K345,Listas!$G$2:$J$8,4,FALSE),0))</x:f>
      </x:c>
      <x:c r="U345" s="23" t="n">
        <x:f>IFERROR(H345/T345,0)</x:f>
        <x:v>0</x:v>
      </x:c>
      <x:c r="V345" s="20"/>
    </x:row>
    <x:row r="346">
      <x:c r="A346" s="20"/>
      <x:c r="B346" s="20"/>
      <x:c r="C346" s="21"/>
      <x:c r="D346" s="20"/>
      <x:c r="E346" s="20"/>
      <x:c r="F346" s="20"/>
      <x:c r="G346" s="22"/>
      <x:c r="H346" s="22"/>
      <x:c r="I346" s="22"/>
      <x:c r="J346" s="23"/>
      <x:c r="K346" s="20"/>
      <x:c r="L346" s="20"/>
      <x:c r="M346" s="21"/>
      <x:c r="N346" s="20"/>
      <x:c r="O346" s="24" t="str">
        <x:f>IF(C346="","",MAX(0,TODAY()-C346))</x:f>
      </x:c>
      <x:c r="P346" s="22" t="str">
        <x:f>IF(OR(G346="",J346=""),"",G346*J346)</x:f>
      </x:c>
      <x:c r="Q346" s="20"/>
      <x:c r="R346" s="20"/>
      <x:c r="S346" s="20"/>
      <x:c r="T346" s="22" t="str">
        <x:f>IF(K346="","",IFERROR(VLOOKUP(K346,Listas!$G$2:$J$8,4,FALSE),0))</x:f>
      </x:c>
      <x:c r="U346" s="23" t="n">
        <x:f>IFERROR(H346/T346,0)</x:f>
        <x:v>0</x:v>
      </x:c>
      <x:c r="V346" s="20"/>
    </x:row>
    <x:row r="347">
      <x:c r="A347" s="20"/>
      <x:c r="B347" s="20"/>
      <x:c r="C347" s="21"/>
      <x:c r="D347" s="20"/>
      <x:c r="E347" s="20"/>
      <x:c r="F347" s="20"/>
      <x:c r="G347" s="22"/>
      <x:c r="H347" s="22"/>
      <x:c r="I347" s="22"/>
      <x:c r="J347" s="23"/>
      <x:c r="K347" s="20"/>
      <x:c r="L347" s="20"/>
      <x:c r="M347" s="21"/>
      <x:c r="N347" s="20"/>
      <x:c r="O347" s="24" t="str">
        <x:f>IF(C347="","",MAX(0,TODAY()-C347))</x:f>
      </x:c>
      <x:c r="P347" s="22" t="str">
        <x:f>IF(OR(G347="",J347=""),"",G347*J347)</x:f>
      </x:c>
      <x:c r="Q347" s="20"/>
      <x:c r="R347" s="20"/>
      <x:c r="S347" s="20"/>
      <x:c r="T347" s="22" t="str">
        <x:f>IF(K347="","",IFERROR(VLOOKUP(K347,Listas!$G$2:$J$8,4,FALSE),0))</x:f>
      </x:c>
      <x:c r="U347" s="23" t="n">
        <x:f>IFERROR(H347/T347,0)</x:f>
        <x:v>0</x:v>
      </x:c>
      <x:c r="V347" s="20"/>
    </x:row>
    <x:row r="348">
      <x:c r="A348" s="20"/>
      <x:c r="B348" s="20"/>
      <x:c r="C348" s="21"/>
      <x:c r="D348" s="20"/>
      <x:c r="E348" s="20"/>
      <x:c r="F348" s="20"/>
      <x:c r="G348" s="22"/>
      <x:c r="H348" s="22"/>
      <x:c r="I348" s="22"/>
      <x:c r="J348" s="23"/>
      <x:c r="K348" s="20"/>
      <x:c r="L348" s="20"/>
      <x:c r="M348" s="21"/>
      <x:c r="N348" s="20"/>
      <x:c r="O348" s="24" t="str">
        <x:f>IF(C348="","",MAX(0,TODAY()-C348))</x:f>
      </x:c>
      <x:c r="P348" s="22" t="str">
        <x:f>IF(OR(G348="",J348=""),"",G348*J348)</x:f>
      </x:c>
      <x:c r="Q348" s="20"/>
      <x:c r="R348" s="20"/>
      <x:c r="S348" s="20"/>
      <x:c r="T348" s="22" t="str">
        <x:f>IF(K348="","",IFERROR(VLOOKUP(K348,Listas!$G$2:$J$8,4,FALSE),0))</x:f>
      </x:c>
      <x:c r="U348" s="23" t="n">
        <x:f>IFERROR(H348/T348,0)</x:f>
        <x:v>0</x:v>
      </x:c>
      <x:c r="V348" s="20"/>
    </x:row>
    <x:row r="349">
      <x:c r="A349" s="20"/>
      <x:c r="B349" s="20"/>
      <x:c r="C349" s="21"/>
      <x:c r="D349" s="20"/>
      <x:c r="E349" s="20"/>
      <x:c r="F349" s="20"/>
      <x:c r="G349" s="22"/>
      <x:c r="H349" s="22"/>
      <x:c r="I349" s="22"/>
      <x:c r="J349" s="23"/>
      <x:c r="K349" s="20"/>
      <x:c r="L349" s="20"/>
      <x:c r="M349" s="21"/>
      <x:c r="N349" s="20"/>
      <x:c r="O349" s="24" t="str">
        <x:f>IF(C349="","",MAX(0,TODAY()-C349))</x:f>
      </x:c>
      <x:c r="P349" s="22" t="str">
        <x:f>IF(OR(G349="",J349=""),"",G349*J349)</x:f>
      </x:c>
      <x:c r="Q349" s="20"/>
      <x:c r="R349" s="20"/>
      <x:c r="S349" s="20"/>
      <x:c r="T349" s="22" t="str">
        <x:f>IF(K349="","",IFERROR(VLOOKUP(K349,Listas!$G$2:$J$8,4,FALSE),0))</x:f>
      </x:c>
      <x:c r="U349" s="23" t="n">
        <x:f>IFERROR(H349/T349,0)</x:f>
        <x:v>0</x:v>
      </x:c>
      <x:c r="V349" s="20"/>
    </x:row>
    <x:row r="350">
      <x:c r="A350" s="20"/>
      <x:c r="B350" s="20"/>
      <x:c r="C350" s="21"/>
      <x:c r="D350" s="20"/>
      <x:c r="E350" s="20"/>
      <x:c r="F350" s="20"/>
      <x:c r="G350" s="22"/>
      <x:c r="H350" s="22"/>
      <x:c r="I350" s="22"/>
      <x:c r="J350" s="23"/>
      <x:c r="K350" s="20"/>
      <x:c r="L350" s="20"/>
      <x:c r="M350" s="21"/>
      <x:c r="N350" s="20"/>
      <x:c r="O350" s="24" t="str">
        <x:f>IF(C350="","",MAX(0,TODAY()-C350))</x:f>
      </x:c>
      <x:c r="P350" s="22" t="str">
        <x:f>IF(OR(G350="",J350=""),"",G350*J350)</x:f>
      </x:c>
      <x:c r="Q350" s="20"/>
      <x:c r="R350" s="20"/>
      <x:c r="S350" s="20"/>
      <x:c r="T350" s="22" t="str">
        <x:f>IF(K350="","",IFERROR(VLOOKUP(K350,Listas!$G$2:$J$8,4,FALSE),0))</x:f>
      </x:c>
      <x:c r="U350" s="23" t="n">
        <x:f>IFERROR(H350/T350,0)</x:f>
        <x:v>0</x:v>
      </x:c>
      <x:c r="V350" s="20"/>
    </x:row>
    <x:row r="351">
      <x:c r="A351" s="20"/>
      <x:c r="B351" s="20"/>
      <x:c r="C351" s="21"/>
      <x:c r="D351" s="20"/>
      <x:c r="E351" s="20"/>
      <x:c r="F351" s="20"/>
      <x:c r="G351" s="22"/>
      <x:c r="H351" s="22"/>
      <x:c r="I351" s="22"/>
      <x:c r="J351" s="23"/>
      <x:c r="K351" s="20"/>
      <x:c r="L351" s="20"/>
      <x:c r="M351" s="21"/>
      <x:c r="N351" s="20"/>
      <x:c r="O351" s="24" t="str">
        <x:f>IF(C351="","",MAX(0,TODAY()-C351))</x:f>
      </x:c>
      <x:c r="P351" s="22" t="str">
        <x:f>IF(OR(G351="",J351=""),"",G351*J351)</x:f>
      </x:c>
      <x:c r="Q351" s="20"/>
      <x:c r="R351" s="20"/>
      <x:c r="S351" s="20"/>
      <x:c r="T351" s="22" t="str">
        <x:f>IF(K351="","",IFERROR(VLOOKUP(K351,Listas!$G$2:$J$8,4,FALSE),0))</x:f>
      </x:c>
      <x:c r="U351" s="23" t="n">
        <x:f>IFERROR(H351/T351,0)</x:f>
        <x:v>0</x:v>
      </x:c>
      <x:c r="V351" s="20"/>
    </x:row>
    <x:row r="352">
      <x:c r="A352" s="20"/>
      <x:c r="B352" s="20"/>
      <x:c r="C352" s="21"/>
      <x:c r="D352" s="20"/>
      <x:c r="E352" s="20"/>
      <x:c r="F352" s="20"/>
      <x:c r="G352" s="22"/>
      <x:c r="H352" s="22"/>
      <x:c r="I352" s="22"/>
      <x:c r="J352" s="23"/>
      <x:c r="K352" s="20"/>
      <x:c r="L352" s="20"/>
      <x:c r="M352" s="21"/>
      <x:c r="N352" s="20"/>
      <x:c r="O352" s="24" t="str">
        <x:f>IF(C352="","",MAX(0,TODAY()-C352))</x:f>
      </x:c>
      <x:c r="P352" s="22" t="str">
        <x:f>IF(OR(G352="",J352=""),"",G352*J352)</x:f>
      </x:c>
      <x:c r="Q352" s="20"/>
      <x:c r="R352" s="20"/>
      <x:c r="S352" s="20"/>
      <x:c r="T352" s="22" t="str">
        <x:f>IF(K352="","",IFERROR(VLOOKUP(K352,Listas!$G$2:$J$8,4,FALSE),0))</x:f>
      </x:c>
      <x:c r="U352" s="23" t="n">
        <x:f>IFERROR(H352/T352,0)</x:f>
        <x:v>0</x:v>
      </x:c>
      <x:c r="V352" s="20"/>
    </x:row>
    <x:row r="353">
      <x:c r="A353" s="20"/>
      <x:c r="B353" s="20"/>
      <x:c r="C353" s="21"/>
      <x:c r="D353" s="20"/>
      <x:c r="E353" s="20"/>
      <x:c r="F353" s="20"/>
      <x:c r="G353" s="22"/>
      <x:c r="H353" s="22"/>
      <x:c r="I353" s="22"/>
      <x:c r="J353" s="23"/>
      <x:c r="K353" s="20"/>
      <x:c r="L353" s="20"/>
      <x:c r="M353" s="21"/>
      <x:c r="N353" s="20"/>
      <x:c r="O353" s="24" t="str">
        <x:f>IF(C353="","",MAX(0,TODAY()-C353))</x:f>
      </x:c>
      <x:c r="P353" s="22" t="str">
        <x:f>IF(OR(G353="",J353=""),"",G353*J353)</x:f>
      </x:c>
      <x:c r="Q353" s="20"/>
      <x:c r="R353" s="20"/>
      <x:c r="S353" s="20"/>
      <x:c r="T353" s="22" t="str">
        <x:f>IF(K353="","",IFERROR(VLOOKUP(K353,Listas!$G$2:$J$8,4,FALSE),0))</x:f>
      </x:c>
      <x:c r="U353" s="23" t="n">
        <x:f>IFERROR(H353/T353,0)</x:f>
        <x:v>0</x:v>
      </x:c>
      <x:c r="V353" s="20"/>
    </x:row>
    <x:row r="354">
      <x:c r="A354" s="20"/>
      <x:c r="B354" s="20"/>
      <x:c r="C354" s="21"/>
      <x:c r="D354" s="20"/>
      <x:c r="E354" s="20"/>
      <x:c r="F354" s="20"/>
      <x:c r="G354" s="22"/>
      <x:c r="H354" s="22"/>
      <x:c r="I354" s="22"/>
      <x:c r="J354" s="23"/>
      <x:c r="K354" s="20"/>
      <x:c r="L354" s="20"/>
      <x:c r="M354" s="21"/>
      <x:c r="N354" s="20"/>
      <x:c r="O354" s="24" t="str">
        <x:f>IF(C354="","",MAX(0,TODAY()-C354))</x:f>
      </x:c>
      <x:c r="P354" s="22" t="str">
        <x:f>IF(OR(G354="",J354=""),"",G354*J354)</x:f>
      </x:c>
      <x:c r="Q354" s="20"/>
      <x:c r="R354" s="20"/>
      <x:c r="S354" s="20"/>
      <x:c r="T354" s="22" t="str">
        <x:f>IF(K354="","",IFERROR(VLOOKUP(K354,Listas!$G$2:$J$8,4,FALSE),0))</x:f>
      </x:c>
      <x:c r="U354" s="23" t="n">
        <x:f>IFERROR(H354/T354,0)</x:f>
        <x:v>0</x:v>
      </x:c>
      <x:c r="V354" s="20"/>
    </x:row>
    <x:row r="355">
      <x:c r="A355" s="20"/>
      <x:c r="B355" s="20"/>
      <x:c r="C355" s="21"/>
      <x:c r="D355" s="20"/>
      <x:c r="E355" s="20"/>
      <x:c r="F355" s="20"/>
      <x:c r="G355" s="22"/>
      <x:c r="H355" s="22"/>
      <x:c r="I355" s="22"/>
      <x:c r="J355" s="23"/>
      <x:c r="K355" s="20"/>
      <x:c r="L355" s="20"/>
      <x:c r="M355" s="21"/>
      <x:c r="N355" s="20"/>
      <x:c r="O355" s="24" t="str">
        <x:f>IF(C355="","",MAX(0,TODAY()-C355))</x:f>
      </x:c>
      <x:c r="P355" s="22" t="str">
        <x:f>IF(OR(G355="",J355=""),"",G355*J355)</x:f>
      </x:c>
      <x:c r="Q355" s="20"/>
      <x:c r="R355" s="20"/>
      <x:c r="S355" s="20"/>
      <x:c r="T355" s="22" t="str">
        <x:f>IF(K355="","",IFERROR(VLOOKUP(K355,Listas!$G$2:$J$8,4,FALSE),0))</x:f>
      </x:c>
      <x:c r="U355" s="23" t="n">
        <x:f>IFERROR(H355/T355,0)</x:f>
        <x:v>0</x:v>
      </x:c>
      <x:c r="V355" s="20"/>
    </x:row>
    <x:row r="356">
      <x:c r="A356" s="20"/>
      <x:c r="B356" s="20"/>
      <x:c r="C356" s="21"/>
      <x:c r="D356" s="20"/>
      <x:c r="E356" s="20"/>
      <x:c r="F356" s="20"/>
      <x:c r="G356" s="22"/>
      <x:c r="H356" s="22"/>
      <x:c r="I356" s="22"/>
      <x:c r="J356" s="23"/>
      <x:c r="K356" s="20"/>
      <x:c r="L356" s="20"/>
      <x:c r="M356" s="21"/>
      <x:c r="N356" s="20"/>
      <x:c r="O356" s="24" t="str">
        <x:f>IF(C356="","",MAX(0,TODAY()-C356))</x:f>
      </x:c>
      <x:c r="P356" s="22" t="str">
        <x:f>IF(OR(G356="",J356=""),"",G356*J356)</x:f>
      </x:c>
      <x:c r="Q356" s="20"/>
      <x:c r="R356" s="20"/>
      <x:c r="S356" s="20"/>
      <x:c r="T356" s="22" t="str">
        <x:f>IF(K356="","",IFERROR(VLOOKUP(K356,Listas!$G$2:$J$8,4,FALSE),0))</x:f>
      </x:c>
      <x:c r="U356" s="23" t="n">
        <x:f>IFERROR(H356/T356,0)</x:f>
        <x:v>0</x:v>
      </x:c>
      <x:c r="V356" s="20"/>
    </x:row>
    <x:row r="357">
      <x:c r="A357" s="20"/>
      <x:c r="B357" s="20"/>
      <x:c r="C357" s="21"/>
      <x:c r="D357" s="20"/>
      <x:c r="E357" s="20"/>
      <x:c r="F357" s="20"/>
      <x:c r="G357" s="22"/>
      <x:c r="H357" s="22"/>
      <x:c r="I357" s="22"/>
      <x:c r="J357" s="23"/>
      <x:c r="K357" s="20"/>
      <x:c r="L357" s="20"/>
      <x:c r="M357" s="21"/>
      <x:c r="N357" s="20"/>
      <x:c r="O357" s="24" t="str">
        <x:f>IF(C357="","",MAX(0,TODAY()-C357))</x:f>
      </x:c>
      <x:c r="P357" s="22" t="str">
        <x:f>IF(OR(G357="",J357=""),"",G357*J357)</x:f>
      </x:c>
      <x:c r="Q357" s="20"/>
      <x:c r="R357" s="20"/>
      <x:c r="S357" s="20"/>
      <x:c r="T357" s="22" t="str">
        <x:f>IF(K357="","",IFERROR(VLOOKUP(K357,Listas!$G$2:$J$8,4,FALSE),0))</x:f>
      </x:c>
      <x:c r="U357" s="23" t="n">
        <x:f>IFERROR(H357/T357,0)</x:f>
        <x:v>0</x:v>
      </x:c>
      <x:c r="V357" s="20"/>
    </x:row>
    <x:row r="358">
      <x:c r="A358" s="20"/>
      <x:c r="B358" s="20"/>
      <x:c r="C358" s="21"/>
      <x:c r="D358" s="20"/>
      <x:c r="E358" s="20"/>
      <x:c r="F358" s="20"/>
      <x:c r="G358" s="22"/>
      <x:c r="H358" s="22"/>
      <x:c r="I358" s="22"/>
      <x:c r="J358" s="23"/>
      <x:c r="K358" s="20"/>
      <x:c r="L358" s="20"/>
      <x:c r="M358" s="21"/>
      <x:c r="N358" s="20"/>
      <x:c r="O358" s="24" t="str">
        <x:f>IF(C358="","",MAX(0,TODAY()-C358))</x:f>
      </x:c>
      <x:c r="P358" s="22" t="str">
        <x:f>IF(OR(G358="",J358=""),"",G358*J358)</x:f>
      </x:c>
      <x:c r="Q358" s="20"/>
      <x:c r="R358" s="20"/>
      <x:c r="S358" s="20"/>
      <x:c r="T358" s="22" t="str">
        <x:f>IF(K358="","",IFERROR(VLOOKUP(K358,Listas!$G$2:$J$8,4,FALSE),0))</x:f>
      </x:c>
      <x:c r="U358" s="23" t="n">
        <x:f>IFERROR(H358/T358,0)</x:f>
        <x:v>0</x:v>
      </x:c>
      <x:c r="V358" s="20"/>
    </x:row>
    <x:row r="359">
      <x:c r="A359" s="20"/>
      <x:c r="B359" s="20"/>
      <x:c r="C359" s="21"/>
      <x:c r="D359" s="20"/>
      <x:c r="E359" s="20"/>
      <x:c r="F359" s="20"/>
      <x:c r="G359" s="22"/>
      <x:c r="H359" s="22"/>
      <x:c r="I359" s="22"/>
      <x:c r="J359" s="23"/>
      <x:c r="K359" s="20"/>
      <x:c r="L359" s="20"/>
      <x:c r="M359" s="21"/>
      <x:c r="N359" s="20"/>
      <x:c r="O359" s="24" t="str">
        <x:f>IF(C359="","",MAX(0,TODAY()-C359))</x:f>
      </x:c>
      <x:c r="P359" s="22" t="str">
        <x:f>IF(OR(G359="",J359=""),"",G359*J359)</x:f>
      </x:c>
      <x:c r="Q359" s="20"/>
      <x:c r="R359" s="20"/>
      <x:c r="S359" s="20"/>
      <x:c r="T359" s="22" t="str">
        <x:f>IF(K359="","",IFERROR(VLOOKUP(K359,Listas!$G$2:$J$8,4,FALSE),0))</x:f>
      </x:c>
      <x:c r="U359" s="23" t="n">
        <x:f>IFERROR(H359/T359,0)</x:f>
        <x:v>0</x:v>
      </x:c>
      <x:c r="V359" s="20"/>
    </x:row>
    <x:row r="360">
      <x:c r="A360" s="20"/>
      <x:c r="B360" s="20"/>
      <x:c r="C360" s="21"/>
      <x:c r="D360" s="20"/>
      <x:c r="E360" s="20"/>
      <x:c r="F360" s="20"/>
      <x:c r="G360" s="22"/>
      <x:c r="H360" s="22"/>
      <x:c r="I360" s="22"/>
      <x:c r="J360" s="23"/>
      <x:c r="K360" s="20"/>
      <x:c r="L360" s="20"/>
      <x:c r="M360" s="21"/>
      <x:c r="N360" s="20"/>
      <x:c r="O360" s="24" t="str">
        <x:f>IF(C360="","",MAX(0,TODAY()-C360))</x:f>
      </x:c>
      <x:c r="P360" s="22" t="str">
        <x:f>IF(OR(G360="",J360=""),"",G360*J360)</x:f>
      </x:c>
      <x:c r="Q360" s="20"/>
      <x:c r="R360" s="20"/>
      <x:c r="S360" s="20"/>
      <x:c r="T360" s="22" t="str">
        <x:f>IF(K360="","",IFERROR(VLOOKUP(K360,Listas!$G$2:$J$8,4,FALSE),0))</x:f>
      </x:c>
      <x:c r="U360" s="23" t="n">
        <x:f>IFERROR(H360/T360,0)</x:f>
        <x:v>0</x:v>
      </x:c>
      <x:c r="V360" s="20"/>
    </x:row>
    <x:row r="361">
      <x:c r="A361" s="20"/>
      <x:c r="B361" s="20"/>
      <x:c r="C361" s="21"/>
      <x:c r="D361" s="20"/>
      <x:c r="E361" s="20"/>
      <x:c r="F361" s="20"/>
      <x:c r="G361" s="22"/>
      <x:c r="H361" s="22"/>
      <x:c r="I361" s="22"/>
      <x:c r="J361" s="23"/>
      <x:c r="K361" s="20"/>
      <x:c r="L361" s="20"/>
      <x:c r="M361" s="21"/>
      <x:c r="N361" s="20"/>
      <x:c r="O361" s="24" t="str">
        <x:f>IF(C361="","",MAX(0,TODAY()-C361))</x:f>
      </x:c>
      <x:c r="P361" s="22" t="str">
        <x:f>IF(OR(G361="",J361=""),"",G361*J361)</x:f>
      </x:c>
      <x:c r="Q361" s="20"/>
      <x:c r="R361" s="20"/>
      <x:c r="S361" s="20"/>
      <x:c r="T361" s="22" t="str">
        <x:f>IF(K361="","",IFERROR(VLOOKUP(K361,Listas!$G$2:$J$8,4,FALSE),0))</x:f>
      </x:c>
      <x:c r="U361" s="23" t="n">
        <x:f>IFERROR(H361/T361,0)</x:f>
        <x:v>0</x:v>
      </x:c>
      <x:c r="V361" s="20"/>
    </x:row>
    <x:row r="362">
      <x:c r="A362" s="20"/>
      <x:c r="B362" s="20"/>
      <x:c r="C362" s="21"/>
      <x:c r="D362" s="20"/>
      <x:c r="E362" s="20"/>
      <x:c r="F362" s="20"/>
      <x:c r="G362" s="22"/>
      <x:c r="H362" s="22"/>
      <x:c r="I362" s="22"/>
      <x:c r="J362" s="23"/>
      <x:c r="K362" s="20"/>
      <x:c r="L362" s="20"/>
      <x:c r="M362" s="21"/>
      <x:c r="N362" s="20"/>
      <x:c r="O362" s="24" t="str">
        <x:f>IF(C362="","",MAX(0,TODAY()-C362))</x:f>
      </x:c>
      <x:c r="P362" s="22" t="str">
        <x:f>IF(OR(G362="",J362=""),"",G362*J362)</x:f>
      </x:c>
      <x:c r="Q362" s="20"/>
      <x:c r="R362" s="20"/>
      <x:c r="S362" s="20"/>
      <x:c r="T362" s="22" t="str">
        <x:f>IF(K362="","",IFERROR(VLOOKUP(K362,Listas!$G$2:$J$8,4,FALSE),0))</x:f>
      </x:c>
      <x:c r="U362" s="23" t="n">
        <x:f>IFERROR(H362/T362,0)</x:f>
        <x:v>0</x:v>
      </x:c>
      <x:c r="V362" s="20"/>
    </x:row>
    <x:row r="363">
      <x:c r="A363" s="20"/>
      <x:c r="B363" s="20"/>
      <x:c r="C363" s="21"/>
      <x:c r="D363" s="20"/>
      <x:c r="E363" s="20"/>
      <x:c r="F363" s="20"/>
      <x:c r="G363" s="22"/>
      <x:c r="H363" s="22"/>
      <x:c r="I363" s="22"/>
      <x:c r="J363" s="23"/>
      <x:c r="K363" s="20"/>
      <x:c r="L363" s="20"/>
      <x:c r="M363" s="21"/>
      <x:c r="N363" s="20"/>
      <x:c r="O363" s="24" t="str">
        <x:f>IF(C363="","",MAX(0,TODAY()-C363))</x:f>
      </x:c>
      <x:c r="P363" s="22" t="str">
        <x:f>IF(OR(G363="",J363=""),"",G363*J363)</x:f>
      </x:c>
      <x:c r="Q363" s="20"/>
      <x:c r="R363" s="20"/>
      <x:c r="S363" s="20"/>
      <x:c r="T363" s="22" t="str">
        <x:f>IF(K363="","",IFERROR(VLOOKUP(K363,Listas!$G$2:$J$8,4,FALSE),0))</x:f>
      </x:c>
      <x:c r="U363" s="23" t="n">
        <x:f>IFERROR(H363/T363,0)</x:f>
        <x:v>0</x:v>
      </x:c>
      <x:c r="V363" s="20"/>
    </x:row>
    <x:row r="364">
      <x:c r="A364" s="20"/>
      <x:c r="B364" s="20"/>
      <x:c r="C364" s="21"/>
      <x:c r="D364" s="20"/>
      <x:c r="E364" s="20"/>
      <x:c r="F364" s="20"/>
      <x:c r="G364" s="22"/>
      <x:c r="H364" s="22"/>
      <x:c r="I364" s="22"/>
      <x:c r="J364" s="23"/>
      <x:c r="K364" s="20"/>
      <x:c r="L364" s="20"/>
      <x:c r="M364" s="21"/>
      <x:c r="N364" s="20"/>
      <x:c r="O364" s="24" t="str">
        <x:f>IF(C364="","",MAX(0,TODAY()-C364))</x:f>
      </x:c>
      <x:c r="P364" s="22" t="str">
        <x:f>IF(OR(G364="",J364=""),"",G364*J364)</x:f>
      </x:c>
      <x:c r="Q364" s="20"/>
      <x:c r="R364" s="20"/>
      <x:c r="S364" s="20"/>
      <x:c r="T364" s="22" t="str">
        <x:f>IF(K364="","",IFERROR(VLOOKUP(K364,Listas!$G$2:$J$8,4,FALSE),0))</x:f>
      </x:c>
      <x:c r="U364" s="23" t="n">
        <x:f>IFERROR(H364/T364,0)</x:f>
        <x:v>0</x:v>
      </x:c>
      <x:c r="V364" s="20"/>
    </x:row>
    <x:row r="365">
      <x:c r="A365" s="20"/>
      <x:c r="B365" s="20"/>
      <x:c r="C365" s="21"/>
      <x:c r="D365" s="20"/>
      <x:c r="E365" s="20"/>
      <x:c r="F365" s="20"/>
      <x:c r="G365" s="22"/>
      <x:c r="H365" s="22"/>
      <x:c r="I365" s="22"/>
      <x:c r="J365" s="23"/>
      <x:c r="K365" s="20"/>
      <x:c r="L365" s="20"/>
      <x:c r="M365" s="21"/>
      <x:c r="N365" s="20"/>
      <x:c r="O365" s="24" t="str">
        <x:f>IF(C365="","",MAX(0,TODAY()-C365))</x:f>
      </x:c>
      <x:c r="P365" s="22" t="str">
        <x:f>IF(OR(G365="",J365=""),"",G365*J365)</x:f>
      </x:c>
      <x:c r="Q365" s="20"/>
      <x:c r="R365" s="20"/>
      <x:c r="S365" s="20"/>
      <x:c r="T365" s="22" t="str">
        <x:f>IF(K365="","",IFERROR(VLOOKUP(K365,Listas!$G$2:$J$8,4,FALSE),0))</x:f>
      </x:c>
      <x:c r="U365" s="23" t="n">
        <x:f>IFERROR(H365/T365,0)</x:f>
        <x:v>0</x:v>
      </x:c>
      <x:c r="V365" s="20"/>
    </x:row>
    <x:row r="366">
      <x:c r="A366" s="20"/>
      <x:c r="B366" s="20"/>
      <x:c r="C366" s="21"/>
      <x:c r="D366" s="20"/>
      <x:c r="E366" s="20"/>
      <x:c r="F366" s="20"/>
      <x:c r="G366" s="22"/>
      <x:c r="H366" s="22"/>
      <x:c r="I366" s="22"/>
      <x:c r="J366" s="23"/>
      <x:c r="K366" s="20"/>
      <x:c r="L366" s="20"/>
      <x:c r="M366" s="21"/>
      <x:c r="N366" s="20"/>
      <x:c r="O366" s="24" t="str">
        <x:f>IF(C366="","",MAX(0,TODAY()-C366))</x:f>
      </x:c>
      <x:c r="P366" s="22" t="str">
        <x:f>IF(OR(G366="",J366=""),"",G366*J366)</x:f>
      </x:c>
      <x:c r="Q366" s="20"/>
      <x:c r="R366" s="20"/>
      <x:c r="S366" s="20"/>
      <x:c r="T366" s="22" t="str">
        <x:f>IF(K366="","",IFERROR(VLOOKUP(K366,Listas!$G$2:$J$8,4,FALSE),0))</x:f>
      </x:c>
      <x:c r="U366" s="23" t="n">
        <x:f>IFERROR(H366/T366,0)</x:f>
        <x:v>0</x:v>
      </x:c>
      <x:c r="V366" s="20"/>
    </x:row>
    <x:row r="367">
      <x:c r="A367" s="20"/>
      <x:c r="B367" s="20"/>
      <x:c r="C367" s="21"/>
      <x:c r="D367" s="20"/>
      <x:c r="E367" s="20"/>
      <x:c r="F367" s="20"/>
      <x:c r="G367" s="22"/>
      <x:c r="H367" s="22"/>
      <x:c r="I367" s="22"/>
      <x:c r="J367" s="23"/>
      <x:c r="K367" s="20"/>
      <x:c r="L367" s="20"/>
      <x:c r="M367" s="21"/>
      <x:c r="N367" s="20"/>
      <x:c r="O367" s="24" t="str">
        <x:f>IF(C367="","",MAX(0,TODAY()-C367))</x:f>
      </x:c>
      <x:c r="P367" s="22" t="str">
        <x:f>IF(OR(G367="",J367=""),"",G367*J367)</x:f>
      </x:c>
      <x:c r="Q367" s="20"/>
      <x:c r="R367" s="20"/>
      <x:c r="S367" s="20"/>
      <x:c r="T367" s="22" t="str">
        <x:f>IF(K367="","",IFERROR(VLOOKUP(K367,Listas!$G$2:$J$8,4,FALSE),0))</x:f>
      </x:c>
      <x:c r="U367" s="23" t="n">
        <x:f>IFERROR(H367/T367,0)</x:f>
        <x:v>0</x:v>
      </x:c>
      <x:c r="V367" s="20"/>
    </x:row>
    <x:row r="368">
      <x:c r="A368" s="20"/>
      <x:c r="B368" s="20"/>
      <x:c r="C368" s="21"/>
      <x:c r="D368" s="20"/>
      <x:c r="E368" s="20"/>
      <x:c r="F368" s="20"/>
      <x:c r="G368" s="22"/>
      <x:c r="H368" s="22"/>
      <x:c r="I368" s="22"/>
      <x:c r="J368" s="23"/>
      <x:c r="K368" s="20"/>
      <x:c r="L368" s="20"/>
      <x:c r="M368" s="21"/>
      <x:c r="N368" s="20"/>
      <x:c r="O368" s="24" t="str">
        <x:f>IF(C368="","",MAX(0,TODAY()-C368))</x:f>
      </x:c>
      <x:c r="P368" s="22" t="str">
        <x:f>IF(OR(G368="",J368=""),"",G368*J368)</x:f>
      </x:c>
      <x:c r="Q368" s="20"/>
      <x:c r="R368" s="20"/>
      <x:c r="S368" s="20"/>
      <x:c r="T368" s="22" t="str">
        <x:f>IF(K368="","",IFERROR(VLOOKUP(K368,Listas!$G$2:$J$8,4,FALSE),0))</x:f>
      </x:c>
      <x:c r="U368" s="23" t="n">
        <x:f>IFERROR(H368/T368,0)</x:f>
        <x:v>0</x:v>
      </x:c>
      <x:c r="V368" s="20"/>
    </x:row>
    <x:row r="369">
      <x:c r="A369" s="20"/>
      <x:c r="B369" s="20"/>
      <x:c r="C369" s="21"/>
      <x:c r="D369" s="20"/>
      <x:c r="E369" s="20"/>
      <x:c r="F369" s="20"/>
      <x:c r="G369" s="22"/>
      <x:c r="H369" s="22"/>
      <x:c r="I369" s="22"/>
      <x:c r="J369" s="23"/>
      <x:c r="K369" s="20"/>
      <x:c r="L369" s="20"/>
      <x:c r="M369" s="21"/>
      <x:c r="N369" s="20"/>
      <x:c r="O369" s="24" t="str">
        <x:f>IF(C369="","",MAX(0,TODAY()-C369))</x:f>
      </x:c>
      <x:c r="P369" s="22" t="str">
        <x:f>IF(OR(G369="",J369=""),"",G369*J369)</x:f>
      </x:c>
      <x:c r="Q369" s="20"/>
      <x:c r="R369" s="20"/>
      <x:c r="S369" s="20"/>
      <x:c r="T369" s="22" t="str">
        <x:f>IF(K369="","",IFERROR(VLOOKUP(K369,Listas!$G$2:$J$8,4,FALSE),0))</x:f>
      </x:c>
      <x:c r="U369" s="23" t="n">
        <x:f>IFERROR(H369/T369,0)</x:f>
        <x:v>0</x:v>
      </x:c>
      <x:c r="V369" s="20"/>
    </x:row>
    <x:row r="370">
      <x:c r="A370" s="20"/>
      <x:c r="B370" s="20"/>
      <x:c r="C370" s="21"/>
      <x:c r="D370" s="20"/>
      <x:c r="E370" s="20"/>
      <x:c r="F370" s="20"/>
      <x:c r="G370" s="22"/>
      <x:c r="H370" s="22"/>
      <x:c r="I370" s="22"/>
      <x:c r="J370" s="23"/>
      <x:c r="K370" s="20"/>
      <x:c r="L370" s="20"/>
      <x:c r="M370" s="21"/>
      <x:c r="N370" s="20"/>
      <x:c r="O370" s="24" t="str">
        <x:f>IF(C370="","",MAX(0,TODAY()-C370))</x:f>
      </x:c>
      <x:c r="P370" s="22" t="str">
        <x:f>IF(OR(G370="",J370=""),"",G370*J370)</x:f>
      </x:c>
      <x:c r="Q370" s="20"/>
      <x:c r="R370" s="20"/>
      <x:c r="S370" s="20"/>
      <x:c r="T370" s="22" t="str">
        <x:f>IF(K370="","",IFERROR(VLOOKUP(K370,Listas!$G$2:$J$8,4,FALSE),0))</x:f>
      </x:c>
      <x:c r="U370" s="23" t="n">
        <x:f>IFERROR(H370/T370,0)</x:f>
        <x:v>0</x:v>
      </x:c>
      <x:c r="V370" s="20"/>
    </x:row>
    <x:row r="371">
      <x:c r="A371" s="20"/>
      <x:c r="B371" s="20"/>
      <x:c r="C371" s="21"/>
      <x:c r="D371" s="20"/>
      <x:c r="E371" s="20"/>
      <x:c r="F371" s="20"/>
      <x:c r="G371" s="22"/>
      <x:c r="H371" s="22"/>
      <x:c r="I371" s="22"/>
      <x:c r="J371" s="23"/>
      <x:c r="K371" s="20"/>
      <x:c r="L371" s="20"/>
      <x:c r="M371" s="21"/>
      <x:c r="N371" s="20"/>
      <x:c r="O371" s="24" t="str">
        <x:f>IF(C371="","",MAX(0,TODAY()-C371))</x:f>
      </x:c>
      <x:c r="P371" s="22" t="str">
        <x:f>IF(OR(G371="",J371=""),"",G371*J371)</x:f>
      </x:c>
      <x:c r="Q371" s="20"/>
      <x:c r="R371" s="20"/>
      <x:c r="S371" s="20"/>
      <x:c r="T371" s="22" t="str">
        <x:f>IF(K371="","",IFERROR(VLOOKUP(K371,Listas!$G$2:$J$8,4,FALSE),0))</x:f>
      </x:c>
      <x:c r="U371" s="23" t="n">
        <x:f>IFERROR(H371/T371,0)</x:f>
        <x:v>0</x:v>
      </x:c>
      <x:c r="V371" s="20"/>
    </x:row>
    <x:row r="372">
      <x:c r="A372" s="20"/>
      <x:c r="B372" s="20"/>
      <x:c r="C372" s="21"/>
      <x:c r="D372" s="20"/>
      <x:c r="E372" s="20"/>
      <x:c r="F372" s="20"/>
      <x:c r="G372" s="22"/>
      <x:c r="H372" s="22"/>
      <x:c r="I372" s="22"/>
      <x:c r="J372" s="23"/>
      <x:c r="K372" s="20"/>
      <x:c r="L372" s="20"/>
      <x:c r="M372" s="21"/>
      <x:c r="N372" s="20"/>
      <x:c r="O372" s="24" t="str">
        <x:f>IF(C372="","",MAX(0,TODAY()-C372))</x:f>
      </x:c>
      <x:c r="P372" s="22" t="str">
        <x:f>IF(OR(G372="",J372=""),"",G372*J372)</x:f>
      </x:c>
      <x:c r="Q372" s="20"/>
      <x:c r="R372" s="20"/>
      <x:c r="S372" s="20"/>
      <x:c r="T372" s="22" t="str">
        <x:f>IF(K372="","",IFERROR(VLOOKUP(K372,Listas!$G$2:$J$8,4,FALSE),0))</x:f>
      </x:c>
      <x:c r="U372" s="23" t="n">
        <x:f>IFERROR(H372/T372,0)</x:f>
        <x:v>0</x:v>
      </x:c>
      <x:c r="V372" s="20"/>
    </x:row>
    <x:row r="373">
      <x:c r="A373" s="20"/>
      <x:c r="B373" s="20"/>
      <x:c r="C373" s="21"/>
      <x:c r="D373" s="20"/>
      <x:c r="E373" s="20"/>
      <x:c r="F373" s="20"/>
      <x:c r="G373" s="22"/>
      <x:c r="H373" s="22"/>
      <x:c r="I373" s="22"/>
      <x:c r="J373" s="23"/>
      <x:c r="K373" s="20"/>
      <x:c r="L373" s="20"/>
      <x:c r="M373" s="21"/>
      <x:c r="N373" s="20"/>
      <x:c r="O373" s="24" t="str">
        <x:f>IF(C373="","",MAX(0,TODAY()-C373))</x:f>
      </x:c>
      <x:c r="P373" s="22" t="str">
        <x:f>IF(OR(G373="",J373=""),"",G373*J373)</x:f>
      </x:c>
      <x:c r="Q373" s="20"/>
      <x:c r="R373" s="20"/>
      <x:c r="S373" s="20"/>
      <x:c r="T373" s="22" t="str">
        <x:f>IF(K373="","",IFERROR(VLOOKUP(K373,Listas!$G$2:$J$8,4,FALSE),0))</x:f>
      </x:c>
      <x:c r="U373" s="23" t="n">
        <x:f>IFERROR(H373/T373,0)</x:f>
        <x:v>0</x:v>
      </x:c>
      <x:c r="V373" s="20"/>
    </x:row>
    <x:row r="374">
      <x:c r="A374" s="20"/>
      <x:c r="B374" s="20"/>
      <x:c r="C374" s="21"/>
      <x:c r="D374" s="20"/>
      <x:c r="E374" s="20"/>
      <x:c r="F374" s="20"/>
      <x:c r="G374" s="22"/>
      <x:c r="H374" s="22"/>
      <x:c r="I374" s="22"/>
      <x:c r="J374" s="23"/>
      <x:c r="K374" s="20"/>
      <x:c r="L374" s="20"/>
      <x:c r="M374" s="21"/>
      <x:c r="N374" s="20"/>
      <x:c r="O374" s="24" t="str">
        <x:f>IF(C374="","",MAX(0,TODAY()-C374))</x:f>
      </x:c>
      <x:c r="P374" s="22" t="str">
        <x:f>IF(OR(G374="",J374=""),"",G374*J374)</x:f>
      </x:c>
      <x:c r="Q374" s="20"/>
      <x:c r="R374" s="20"/>
      <x:c r="S374" s="20"/>
      <x:c r="T374" s="22" t="str">
        <x:f>IF(K374="","",IFERROR(VLOOKUP(K374,Listas!$G$2:$J$8,4,FALSE),0))</x:f>
      </x:c>
      <x:c r="U374" s="23" t="n">
        <x:f>IFERROR(H374/T374,0)</x:f>
        <x:v>0</x:v>
      </x:c>
      <x:c r="V374" s="20"/>
    </x:row>
    <x:row r="375">
      <x:c r="A375" s="20"/>
      <x:c r="B375" s="20"/>
      <x:c r="C375" s="21"/>
      <x:c r="D375" s="20"/>
      <x:c r="E375" s="20"/>
      <x:c r="F375" s="20"/>
      <x:c r="G375" s="22"/>
      <x:c r="H375" s="22"/>
      <x:c r="I375" s="22"/>
      <x:c r="J375" s="23"/>
      <x:c r="K375" s="20"/>
      <x:c r="L375" s="20"/>
      <x:c r="M375" s="21"/>
      <x:c r="N375" s="20"/>
      <x:c r="O375" s="24" t="str">
        <x:f>IF(C375="","",MAX(0,TODAY()-C375))</x:f>
      </x:c>
      <x:c r="P375" s="22" t="str">
        <x:f>IF(OR(G375="",J375=""),"",G375*J375)</x:f>
      </x:c>
      <x:c r="Q375" s="20"/>
      <x:c r="R375" s="20"/>
      <x:c r="S375" s="20"/>
      <x:c r="T375" s="22" t="str">
        <x:f>IF(K375="","",IFERROR(VLOOKUP(K375,Listas!$G$2:$J$8,4,FALSE),0))</x:f>
      </x:c>
      <x:c r="U375" s="23" t="n">
        <x:f>IFERROR(H375/T375,0)</x:f>
        <x:v>0</x:v>
      </x:c>
      <x:c r="V375" s="20"/>
    </x:row>
    <x:row r="376">
      <x:c r="A376" s="20"/>
      <x:c r="B376" s="20"/>
      <x:c r="C376" s="21"/>
      <x:c r="D376" s="20"/>
      <x:c r="E376" s="20"/>
      <x:c r="F376" s="20"/>
      <x:c r="G376" s="22"/>
      <x:c r="H376" s="22"/>
      <x:c r="I376" s="22"/>
      <x:c r="J376" s="23"/>
      <x:c r="K376" s="20"/>
      <x:c r="L376" s="20"/>
      <x:c r="M376" s="21"/>
      <x:c r="N376" s="20"/>
      <x:c r="O376" s="24" t="str">
        <x:f>IF(C376="","",MAX(0,TODAY()-C376))</x:f>
      </x:c>
      <x:c r="P376" s="22" t="str">
        <x:f>IF(OR(G376="",J376=""),"",G376*J376)</x:f>
      </x:c>
      <x:c r="Q376" s="20"/>
      <x:c r="R376" s="20"/>
      <x:c r="S376" s="20"/>
      <x:c r="T376" s="22" t="str">
        <x:f>IF(K376="","",IFERROR(VLOOKUP(K376,Listas!$G$2:$J$8,4,FALSE),0))</x:f>
      </x:c>
      <x:c r="U376" s="23" t="n">
        <x:f>IFERROR(H376/T376,0)</x:f>
        <x:v>0</x:v>
      </x:c>
      <x:c r="V376" s="20"/>
    </x:row>
    <x:row r="377">
      <x:c r="A377" s="20"/>
      <x:c r="B377" s="20"/>
      <x:c r="C377" s="21"/>
      <x:c r="D377" s="20"/>
      <x:c r="E377" s="20"/>
      <x:c r="F377" s="20"/>
      <x:c r="G377" s="22"/>
      <x:c r="H377" s="22"/>
      <x:c r="I377" s="22"/>
      <x:c r="J377" s="23"/>
      <x:c r="K377" s="20"/>
      <x:c r="L377" s="20"/>
      <x:c r="M377" s="21"/>
      <x:c r="N377" s="20"/>
      <x:c r="O377" s="24" t="str">
        <x:f>IF(C377="","",MAX(0,TODAY()-C377))</x:f>
      </x:c>
      <x:c r="P377" s="22" t="str">
        <x:f>IF(OR(G377="",J377=""),"",G377*J377)</x:f>
      </x:c>
      <x:c r="Q377" s="20"/>
      <x:c r="R377" s="20"/>
      <x:c r="S377" s="20"/>
      <x:c r="T377" s="22" t="str">
        <x:f>IF(K377="","",IFERROR(VLOOKUP(K377,Listas!$G$2:$J$8,4,FALSE),0))</x:f>
      </x:c>
      <x:c r="U377" s="23" t="n">
        <x:f>IFERROR(H377/T377,0)</x:f>
        <x:v>0</x:v>
      </x:c>
      <x:c r="V377" s="20"/>
    </x:row>
    <x:row r="378">
      <x:c r="A378" s="20"/>
      <x:c r="B378" s="20"/>
      <x:c r="C378" s="21"/>
      <x:c r="D378" s="20"/>
      <x:c r="E378" s="20"/>
      <x:c r="F378" s="20"/>
      <x:c r="G378" s="22"/>
      <x:c r="H378" s="22"/>
      <x:c r="I378" s="22"/>
      <x:c r="J378" s="23"/>
      <x:c r="K378" s="20"/>
      <x:c r="L378" s="20"/>
      <x:c r="M378" s="21"/>
      <x:c r="N378" s="20"/>
      <x:c r="O378" s="24" t="str">
        <x:f>IF(C378="","",MAX(0,TODAY()-C378))</x:f>
      </x:c>
      <x:c r="P378" s="22" t="str">
        <x:f>IF(OR(G378="",J378=""),"",G378*J378)</x:f>
      </x:c>
      <x:c r="Q378" s="20"/>
      <x:c r="R378" s="20"/>
      <x:c r="S378" s="20"/>
      <x:c r="T378" s="22" t="str">
        <x:f>IF(K378="","",IFERROR(VLOOKUP(K378,Listas!$G$2:$J$8,4,FALSE),0))</x:f>
      </x:c>
      <x:c r="U378" s="23" t="n">
        <x:f>IFERROR(H378/T378,0)</x:f>
        <x:v>0</x:v>
      </x:c>
      <x:c r="V378" s="20"/>
    </x:row>
    <x:row r="379">
      <x:c r="A379" s="20"/>
      <x:c r="B379" s="20"/>
      <x:c r="C379" s="21"/>
      <x:c r="D379" s="20"/>
      <x:c r="E379" s="20"/>
      <x:c r="F379" s="20"/>
      <x:c r="G379" s="22"/>
      <x:c r="H379" s="22"/>
      <x:c r="I379" s="22"/>
      <x:c r="J379" s="23"/>
      <x:c r="K379" s="20"/>
      <x:c r="L379" s="20"/>
      <x:c r="M379" s="21"/>
      <x:c r="N379" s="20"/>
      <x:c r="O379" s="24" t="str">
        <x:f>IF(C379="","",MAX(0,TODAY()-C379))</x:f>
      </x:c>
      <x:c r="P379" s="22" t="str">
        <x:f>IF(OR(G379="",J379=""),"",G379*J379)</x:f>
      </x:c>
      <x:c r="Q379" s="20"/>
      <x:c r="R379" s="20"/>
      <x:c r="S379" s="20"/>
      <x:c r="T379" s="22" t="str">
        <x:f>IF(K379="","",IFERROR(VLOOKUP(K379,Listas!$G$2:$J$8,4,FALSE),0))</x:f>
      </x:c>
      <x:c r="U379" s="23" t="n">
        <x:f>IFERROR(H379/T379,0)</x:f>
        <x:v>0</x:v>
      </x:c>
      <x:c r="V379" s="20"/>
    </x:row>
    <x:row r="380">
      <x:c r="A380" s="20"/>
      <x:c r="B380" s="20"/>
      <x:c r="C380" s="21"/>
      <x:c r="D380" s="20"/>
      <x:c r="E380" s="20"/>
      <x:c r="F380" s="20"/>
      <x:c r="G380" s="22"/>
      <x:c r="H380" s="22"/>
      <x:c r="I380" s="22"/>
      <x:c r="J380" s="23"/>
      <x:c r="K380" s="20"/>
      <x:c r="L380" s="20"/>
      <x:c r="M380" s="21"/>
      <x:c r="N380" s="20"/>
      <x:c r="O380" s="24" t="str">
        <x:f>IF(C380="","",MAX(0,TODAY()-C380))</x:f>
      </x:c>
      <x:c r="P380" s="22" t="str">
        <x:f>IF(OR(G380="",J380=""),"",G380*J380)</x:f>
      </x:c>
      <x:c r="Q380" s="20"/>
      <x:c r="R380" s="20"/>
      <x:c r="S380" s="20"/>
      <x:c r="T380" s="22" t="str">
        <x:f>IF(K380="","",IFERROR(VLOOKUP(K380,Listas!$G$2:$J$8,4,FALSE),0))</x:f>
      </x:c>
      <x:c r="U380" s="23" t="n">
        <x:f>IFERROR(H380/T380,0)</x:f>
        <x:v>0</x:v>
      </x:c>
      <x:c r="V380" s="20"/>
    </x:row>
    <x:row r="381">
      <x:c r="A381" s="20"/>
      <x:c r="B381" s="20"/>
      <x:c r="C381" s="21"/>
      <x:c r="D381" s="20"/>
      <x:c r="E381" s="20"/>
      <x:c r="F381" s="20"/>
      <x:c r="G381" s="22"/>
      <x:c r="H381" s="22"/>
      <x:c r="I381" s="22"/>
      <x:c r="J381" s="23"/>
      <x:c r="K381" s="20"/>
      <x:c r="L381" s="20"/>
      <x:c r="M381" s="21"/>
      <x:c r="N381" s="20"/>
      <x:c r="O381" s="24" t="str">
        <x:f>IF(C381="","",MAX(0,TODAY()-C381))</x:f>
      </x:c>
      <x:c r="P381" s="22" t="str">
        <x:f>IF(OR(G381="",J381=""),"",G381*J381)</x:f>
      </x:c>
      <x:c r="Q381" s="20"/>
      <x:c r="R381" s="20"/>
      <x:c r="S381" s="20"/>
      <x:c r="T381" s="22" t="str">
        <x:f>IF(K381="","",IFERROR(VLOOKUP(K381,Listas!$G$2:$J$8,4,FALSE),0))</x:f>
      </x:c>
      <x:c r="U381" s="23" t="n">
        <x:f>IFERROR(H381/T381,0)</x:f>
        <x:v>0</x:v>
      </x:c>
      <x:c r="V381" s="20"/>
    </x:row>
    <x:row r="382">
      <x:c r="A382" s="20"/>
      <x:c r="B382" s="20"/>
      <x:c r="C382" s="21"/>
      <x:c r="D382" s="20"/>
      <x:c r="E382" s="20"/>
      <x:c r="F382" s="20"/>
      <x:c r="G382" s="22"/>
      <x:c r="H382" s="22"/>
      <x:c r="I382" s="22"/>
      <x:c r="J382" s="23"/>
      <x:c r="K382" s="20"/>
      <x:c r="L382" s="20"/>
      <x:c r="M382" s="21"/>
      <x:c r="N382" s="20"/>
      <x:c r="O382" s="24" t="str">
        <x:f>IF(C382="","",MAX(0,TODAY()-C382))</x:f>
      </x:c>
      <x:c r="P382" s="22" t="str">
        <x:f>IF(OR(G382="",J382=""),"",G382*J382)</x:f>
      </x:c>
      <x:c r="Q382" s="20"/>
      <x:c r="R382" s="20"/>
      <x:c r="S382" s="20"/>
      <x:c r="T382" s="22" t="str">
        <x:f>IF(K382="","",IFERROR(VLOOKUP(K382,Listas!$G$2:$J$8,4,FALSE),0))</x:f>
      </x:c>
      <x:c r="U382" s="23" t="n">
        <x:f>IFERROR(H382/T382,0)</x:f>
        <x:v>0</x:v>
      </x:c>
      <x:c r="V382" s="20"/>
    </x:row>
    <x:row r="383">
      <x:c r="A383" s="20"/>
      <x:c r="B383" s="20"/>
      <x:c r="C383" s="21"/>
      <x:c r="D383" s="20"/>
      <x:c r="E383" s="20"/>
      <x:c r="F383" s="20"/>
      <x:c r="G383" s="22"/>
      <x:c r="H383" s="22"/>
      <x:c r="I383" s="22"/>
      <x:c r="J383" s="23"/>
      <x:c r="K383" s="20"/>
      <x:c r="L383" s="20"/>
      <x:c r="M383" s="21"/>
      <x:c r="N383" s="20"/>
      <x:c r="O383" s="24" t="str">
        <x:f>IF(C383="","",MAX(0,TODAY()-C383))</x:f>
      </x:c>
      <x:c r="P383" s="22" t="str">
        <x:f>IF(OR(G383="",J383=""),"",G383*J383)</x:f>
      </x:c>
      <x:c r="Q383" s="20"/>
      <x:c r="R383" s="20"/>
      <x:c r="S383" s="20"/>
      <x:c r="T383" s="22" t="str">
        <x:f>IF(K383="","",IFERROR(VLOOKUP(K383,Listas!$G$2:$J$8,4,FALSE),0))</x:f>
      </x:c>
      <x:c r="U383" s="23" t="n">
        <x:f>IFERROR(H383/T383,0)</x:f>
        <x:v>0</x:v>
      </x:c>
      <x:c r="V383" s="20"/>
    </x:row>
    <x:row r="384">
      <x:c r="A384" s="20"/>
      <x:c r="B384" s="20"/>
      <x:c r="C384" s="21"/>
      <x:c r="D384" s="20"/>
      <x:c r="E384" s="20"/>
      <x:c r="F384" s="20"/>
      <x:c r="G384" s="22"/>
      <x:c r="H384" s="22"/>
      <x:c r="I384" s="22"/>
      <x:c r="J384" s="23"/>
      <x:c r="K384" s="20"/>
      <x:c r="L384" s="20"/>
      <x:c r="M384" s="21"/>
      <x:c r="N384" s="20"/>
      <x:c r="O384" s="24" t="str">
        <x:f>IF(C384="","",MAX(0,TODAY()-C384))</x:f>
      </x:c>
      <x:c r="P384" s="22" t="str">
        <x:f>IF(OR(G384="",J384=""),"",G384*J384)</x:f>
      </x:c>
      <x:c r="Q384" s="20"/>
      <x:c r="R384" s="20"/>
      <x:c r="S384" s="20"/>
      <x:c r="T384" s="22" t="str">
        <x:f>IF(K384="","",IFERROR(VLOOKUP(K384,Listas!$G$2:$J$8,4,FALSE),0))</x:f>
      </x:c>
      <x:c r="U384" s="23" t="n">
        <x:f>IFERROR(H384/T384,0)</x:f>
        <x:v>0</x:v>
      </x:c>
      <x:c r="V384" s="20"/>
    </x:row>
    <x:row r="385">
      <x:c r="A385" s="20"/>
      <x:c r="B385" s="20"/>
      <x:c r="C385" s="21"/>
      <x:c r="D385" s="20"/>
      <x:c r="E385" s="20"/>
      <x:c r="F385" s="20"/>
      <x:c r="G385" s="22"/>
      <x:c r="H385" s="22"/>
      <x:c r="I385" s="22"/>
      <x:c r="J385" s="23"/>
      <x:c r="K385" s="20"/>
      <x:c r="L385" s="20"/>
      <x:c r="M385" s="21"/>
      <x:c r="N385" s="20"/>
      <x:c r="O385" s="24" t="str">
        <x:f>IF(C385="","",MAX(0,TODAY()-C385))</x:f>
      </x:c>
      <x:c r="P385" s="22" t="str">
        <x:f>IF(OR(G385="",J385=""),"",G385*J385)</x:f>
      </x:c>
      <x:c r="Q385" s="20"/>
      <x:c r="R385" s="20"/>
      <x:c r="S385" s="20"/>
      <x:c r="T385" s="22" t="str">
        <x:f>IF(K385="","",IFERROR(VLOOKUP(K385,Listas!$G$2:$J$8,4,FALSE),0))</x:f>
      </x:c>
      <x:c r="U385" s="23" t="n">
        <x:f>IFERROR(H385/T385,0)</x:f>
        <x:v>0</x:v>
      </x:c>
      <x:c r="V385" s="20"/>
    </x:row>
    <x:row r="386">
      <x:c r="A386" s="20"/>
      <x:c r="B386" s="20"/>
      <x:c r="C386" s="21"/>
      <x:c r="D386" s="20"/>
      <x:c r="E386" s="20"/>
      <x:c r="F386" s="20"/>
      <x:c r="G386" s="22"/>
      <x:c r="H386" s="22"/>
      <x:c r="I386" s="22"/>
      <x:c r="J386" s="23"/>
      <x:c r="K386" s="20"/>
      <x:c r="L386" s="20"/>
      <x:c r="M386" s="21"/>
      <x:c r="N386" s="20"/>
      <x:c r="O386" s="24" t="str">
        <x:f>IF(C386="","",MAX(0,TODAY()-C386))</x:f>
      </x:c>
      <x:c r="P386" s="22" t="str">
        <x:f>IF(OR(G386="",J386=""),"",G386*J386)</x:f>
      </x:c>
      <x:c r="Q386" s="20"/>
      <x:c r="R386" s="20"/>
      <x:c r="S386" s="20"/>
      <x:c r="T386" s="22" t="str">
        <x:f>IF(K386="","",IFERROR(VLOOKUP(K386,Listas!$G$2:$J$8,4,FALSE),0))</x:f>
      </x:c>
      <x:c r="U386" s="23" t="n">
        <x:f>IFERROR(H386/T386,0)</x:f>
        <x:v>0</x:v>
      </x:c>
      <x:c r="V386" s="20"/>
    </x:row>
    <x:row r="387">
      <x:c r="A387" s="20"/>
      <x:c r="B387" s="20"/>
      <x:c r="C387" s="21"/>
      <x:c r="D387" s="20"/>
      <x:c r="E387" s="20"/>
      <x:c r="F387" s="20"/>
      <x:c r="G387" s="22"/>
      <x:c r="H387" s="22"/>
      <x:c r="I387" s="22"/>
      <x:c r="J387" s="23"/>
      <x:c r="K387" s="20"/>
      <x:c r="L387" s="20"/>
      <x:c r="M387" s="21"/>
      <x:c r="N387" s="20"/>
      <x:c r="O387" s="24" t="str">
        <x:f>IF(C387="","",MAX(0,TODAY()-C387))</x:f>
      </x:c>
      <x:c r="P387" s="22" t="str">
        <x:f>IF(OR(G387="",J387=""),"",G387*J387)</x:f>
      </x:c>
      <x:c r="Q387" s="20"/>
      <x:c r="R387" s="20"/>
      <x:c r="S387" s="20"/>
      <x:c r="T387" s="22" t="str">
        <x:f>IF(K387="","",IFERROR(VLOOKUP(K387,Listas!$G$2:$J$8,4,FALSE),0))</x:f>
      </x:c>
      <x:c r="U387" s="23" t="n">
        <x:f>IFERROR(H387/T387,0)</x:f>
        <x:v>0</x:v>
      </x:c>
      <x:c r="V387" s="20"/>
    </x:row>
    <x:row r="388">
      <x:c r="A388" s="20"/>
      <x:c r="B388" s="20"/>
      <x:c r="C388" s="21"/>
      <x:c r="D388" s="20"/>
      <x:c r="E388" s="20"/>
      <x:c r="F388" s="20"/>
      <x:c r="G388" s="22"/>
      <x:c r="H388" s="22"/>
      <x:c r="I388" s="22"/>
      <x:c r="J388" s="23"/>
      <x:c r="K388" s="20"/>
      <x:c r="L388" s="20"/>
      <x:c r="M388" s="21"/>
      <x:c r="N388" s="20"/>
      <x:c r="O388" s="24" t="str">
        <x:f>IF(C388="","",MAX(0,TODAY()-C388))</x:f>
      </x:c>
      <x:c r="P388" s="22" t="str">
        <x:f>IF(OR(G388="",J388=""),"",G388*J388)</x:f>
      </x:c>
      <x:c r="Q388" s="20"/>
      <x:c r="R388" s="20"/>
      <x:c r="S388" s="20"/>
      <x:c r="T388" s="22" t="str">
        <x:f>IF(K388="","",IFERROR(VLOOKUP(K388,Listas!$G$2:$J$8,4,FALSE),0))</x:f>
      </x:c>
      <x:c r="U388" s="23" t="n">
        <x:f>IFERROR(H388/T388,0)</x:f>
        <x:v>0</x:v>
      </x:c>
      <x:c r="V388" s="20"/>
    </x:row>
    <x:row r="389">
      <x:c r="A389" s="20"/>
      <x:c r="B389" s="20"/>
      <x:c r="C389" s="21"/>
      <x:c r="D389" s="20"/>
      <x:c r="E389" s="20"/>
      <x:c r="F389" s="20"/>
      <x:c r="G389" s="22"/>
      <x:c r="H389" s="22"/>
      <x:c r="I389" s="22"/>
      <x:c r="J389" s="23"/>
      <x:c r="K389" s="20"/>
      <x:c r="L389" s="20"/>
      <x:c r="M389" s="21"/>
      <x:c r="N389" s="20"/>
      <x:c r="O389" s="24" t="str">
        <x:f>IF(C389="","",MAX(0,TODAY()-C389))</x:f>
      </x:c>
      <x:c r="P389" s="22" t="str">
        <x:f>IF(OR(G389="",J389=""),"",G389*J389)</x:f>
      </x:c>
      <x:c r="Q389" s="20"/>
      <x:c r="R389" s="20"/>
      <x:c r="S389" s="20"/>
      <x:c r="T389" s="22" t="str">
        <x:f>IF(K389="","",IFERROR(VLOOKUP(K389,Listas!$G$2:$J$8,4,FALSE),0))</x:f>
      </x:c>
      <x:c r="U389" s="23" t="n">
        <x:f>IFERROR(H389/T389,0)</x:f>
        <x:v>0</x:v>
      </x:c>
      <x:c r="V389" s="20"/>
    </x:row>
    <x:row r="390">
      <x:c r="A390" s="20"/>
      <x:c r="B390" s="20"/>
      <x:c r="C390" s="21"/>
      <x:c r="D390" s="20"/>
      <x:c r="E390" s="20"/>
      <x:c r="F390" s="20"/>
      <x:c r="G390" s="22"/>
      <x:c r="H390" s="22"/>
      <x:c r="I390" s="22"/>
      <x:c r="J390" s="23"/>
      <x:c r="K390" s="20"/>
      <x:c r="L390" s="20"/>
      <x:c r="M390" s="21"/>
      <x:c r="N390" s="20"/>
      <x:c r="O390" s="24" t="str">
        <x:f>IF(C390="","",MAX(0,TODAY()-C390))</x:f>
      </x:c>
      <x:c r="P390" s="22" t="str">
        <x:f>IF(OR(G390="",J390=""),"",G390*J390)</x:f>
      </x:c>
      <x:c r="Q390" s="20"/>
      <x:c r="R390" s="20"/>
      <x:c r="S390" s="20"/>
      <x:c r="T390" s="22" t="str">
        <x:f>IF(K390="","",IFERROR(VLOOKUP(K390,Listas!$G$2:$J$8,4,FALSE),0))</x:f>
      </x:c>
      <x:c r="U390" s="23" t="n">
        <x:f>IFERROR(H390/T390,0)</x:f>
        <x:v>0</x:v>
      </x:c>
      <x:c r="V390" s="20"/>
    </x:row>
    <x:row r="391">
      <x:c r="A391" s="20"/>
      <x:c r="B391" s="20"/>
      <x:c r="C391" s="21"/>
      <x:c r="D391" s="20"/>
      <x:c r="E391" s="20"/>
      <x:c r="F391" s="20"/>
      <x:c r="G391" s="22"/>
      <x:c r="H391" s="22"/>
      <x:c r="I391" s="22"/>
      <x:c r="J391" s="23"/>
      <x:c r="K391" s="20"/>
      <x:c r="L391" s="20"/>
      <x:c r="M391" s="21"/>
      <x:c r="N391" s="20"/>
      <x:c r="O391" s="24" t="str">
        <x:f>IF(C391="","",MAX(0,TODAY()-C391))</x:f>
      </x:c>
      <x:c r="P391" s="22" t="str">
        <x:f>IF(OR(G391="",J391=""),"",G391*J391)</x:f>
      </x:c>
      <x:c r="Q391" s="20"/>
      <x:c r="R391" s="20"/>
      <x:c r="S391" s="20"/>
      <x:c r="T391" s="22" t="str">
        <x:f>IF(K391="","",IFERROR(VLOOKUP(K391,Listas!$G$2:$J$8,4,FALSE),0))</x:f>
      </x:c>
      <x:c r="U391" s="23" t="n">
        <x:f>IFERROR(H391/T391,0)</x:f>
        <x:v>0</x:v>
      </x:c>
      <x:c r="V391" s="20"/>
    </x:row>
    <x:row r="392">
      <x:c r="A392" s="20"/>
      <x:c r="B392" s="20"/>
      <x:c r="C392" s="21"/>
      <x:c r="D392" s="20"/>
      <x:c r="E392" s="20"/>
      <x:c r="F392" s="20"/>
      <x:c r="G392" s="22"/>
      <x:c r="H392" s="22"/>
      <x:c r="I392" s="22"/>
      <x:c r="J392" s="23"/>
      <x:c r="K392" s="20"/>
      <x:c r="L392" s="20"/>
      <x:c r="M392" s="21"/>
      <x:c r="N392" s="20"/>
      <x:c r="O392" s="24" t="str">
        <x:f>IF(C392="","",MAX(0,TODAY()-C392))</x:f>
      </x:c>
      <x:c r="P392" s="22" t="str">
        <x:f>IF(OR(G392="",J392=""),"",G392*J392)</x:f>
      </x:c>
      <x:c r="Q392" s="20"/>
      <x:c r="R392" s="20"/>
      <x:c r="S392" s="20"/>
      <x:c r="T392" s="22" t="str">
        <x:f>IF(K392="","",IFERROR(VLOOKUP(K392,Listas!$G$2:$J$8,4,FALSE),0))</x:f>
      </x:c>
      <x:c r="U392" s="23" t="n">
        <x:f>IFERROR(H392/T392,0)</x:f>
        <x:v>0</x:v>
      </x:c>
      <x:c r="V392" s="20"/>
    </x:row>
    <x:row r="393">
      <x:c r="A393" s="20"/>
      <x:c r="B393" s="20"/>
      <x:c r="C393" s="21"/>
      <x:c r="D393" s="20"/>
      <x:c r="E393" s="20"/>
      <x:c r="F393" s="20"/>
      <x:c r="G393" s="22"/>
      <x:c r="H393" s="22"/>
      <x:c r="I393" s="22"/>
      <x:c r="J393" s="23"/>
      <x:c r="K393" s="20"/>
      <x:c r="L393" s="20"/>
      <x:c r="M393" s="21"/>
      <x:c r="N393" s="20"/>
      <x:c r="O393" s="24" t="str">
        <x:f>IF(C393="","",MAX(0,TODAY()-C393))</x:f>
      </x:c>
      <x:c r="P393" s="22" t="str">
        <x:f>IF(OR(G393="",J393=""),"",G393*J393)</x:f>
      </x:c>
      <x:c r="Q393" s="20"/>
      <x:c r="R393" s="20"/>
      <x:c r="S393" s="20"/>
      <x:c r="T393" s="22" t="str">
        <x:f>IF(K393="","",IFERROR(VLOOKUP(K393,Listas!$G$2:$J$8,4,FALSE),0))</x:f>
      </x:c>
      <x:c r="U393" s="23" t="n">
        <x:f>IFERROR(H393/T393,0)</x:f>
        <x:v>0</x:v>
      </x:c>
      <x:c r="V393" s="20"/>
    </x:row>
    <x:row r="394">
      <x:c r="A394" s="20"/>
      <x:c r="B394" s="20"/>
      <x:c r="C394" s="21"/>
      <x:c r="D394" s="20"/>
      <x:c r="E394" s="20"/>
      <x:c r="F394" s="20"/>
      <x:c r="G394" s="22"/>
      <x:c r="H394" s="22"/>
      <x:c r="I394" s="22"/>
      <x:c r="J394" s="23"/>
      <x:c r="K394" s="20"/>
      <x:c r="L394" s="20"/>
      <x:c r="M394" s="21"/>
      <x:c r="N394" s="20"/>
      <x:c r="O394" s="24" t="str">
        <x:f>IF(C394="","",MAX(0,TODAY()-C394))</x:f>
      </x:c>
      <x:c r="P394" s="22" t="str">
        <x:f>IF(OR(G394="",J394=""),"",G394*J394)</x:f>
      </x:c>
      <x:c r="Q394" s="20"/>
      <x:c r="R394" s="20"/>
      <x:c r="S394" s="20"/>
      <x:c r="T394" s="22" t="str">
        <x:f>IF(K394="","",IFERROR(VLOOKUP(K394,Listas!$G$2:$J$8,4,FALSE),0))</x:f>
      </x:c>
      <x:c r="U394" s="23" t="n">
        <x:f>IFERROR(H394/T394,0)</x:f>
        <x:v>0</x:v>
      </x:c>
      <x:c r="V394" s="20"/>
    </x:row>
    <x:row r="395">
      <x:c r="A395" s="20"/>
      <x:c r="B395" s="20"/>
      <x:c r="C395" s="21"/>
      <x:c r="D395" s="20"/>
      <x:c r="E395" s="20"/>
      <x:c r="F395" s="20"/>
      <x:c r="G395" s="22"/>
      <x:c r="H395" s="22"/>
      <x:c r="I395" s="22"/>
      <x:c r="J395" s="23"/>
      <x:c r="K395" s="20"/>
      <x:c r="L395" s="20"/>
      <x:c r="M395" s="21"/>
      <x:c r="N395" s="20"/>
      <x:c r="O395" s="24" t="str">
        <x:f>IF(C395="","",MAX(0,TODAY()-C395))</x:f>
      </x:c>
      <x:c r="P395" s="22" t="str">
        <x:f>IF(OR(G395="",J395=""),"",G395*J395)</x:f>
      </x:c>
      <x:c r="Q395" s="20"/>
      <x:c r="R395" s="20"/>
      <x:c r="S395" s="20"/>
      <x:c r="T395" s="22" t="str">
        <x:f>IF(K395="","",IFERROR(VLOOKUP(K395,Listas!$G$2:$J$8,4,FALSE),0))</x:f>
      </x:c>
      <x:c r="U395" s="23" t="n">
        <x:f>IFERROR(H395/T395,0)</x:f>
        <x:v>0</x:v>
      </x:c>
      <x:c r="V395" s="20"/>
    </x:row>
    <x:row r="396">
      <x:c r="A396" s="20"/>
      <x:c r="B396" s="20"/>
      <x:c r="C396" s="21"/>
      <x:c r="D396" s="20"/>
      <x:c r="E396" s="20"/>
      <x:c r="F396" s="20"/>
      <x:c r="G396" s="22"/>
      <x:c r="H396" s="22"/>
      <x:c r="I396" s="22"/>
      <x:c r="J396" s="23"/>
      <x:c r="K396" s="20"/>
      <x:c r="L396" s="20"/>
      <x:c r="M396" s="21"/>
      <x:c r="N396" s="20"/>
      <x:c r="O396" s="24" t="str">
        <x:f>IF(C396="","",MAX(0,TODAY()-C396))</x:f>
      </x:c>
      <x:c r="P396" s="22" t="str">
        <x:f>IF(OR(G396="",J396=""),"",G396*J396)</x:f>
      </x:c>
      <x:c r="Q396" s="20"/>
      <x:c r="R396" s="20"/>
      <x:c r="S396" s="20"/>
      <x:c r="T396" s="22" t="str">
        <x:f>IF(K396="","",IFERROR(VLOOKUP(K396,Listas!$G$2:$J$8,4,FALSE),0))</x:f>
      </x:c>
      <x:c r="U396" s="23" t="n">
        <x:f>IFERROR(H396/T396,0)</x:f>
        <x:v>0</x:v>
      </x:c>
      <x:c r="V396" s="20"/>
    </x:row>
    <x:row r="397">
      <x:c r="A397" s="20"/>
      <x:c r="B397" s="20"/>
      <x:c r="C397" s="21"/>
      <x:c r="D397" s="20"/>
      <x:c r="E397" s="20"/>
      <x:c r="F397" s="20"/>
      <x:c r="G397" s="22"/>
      <x:c r="H397" s="22"/>
      <x:c r="I397" s="22"/>
      <x:c r="J397" s="23"/>
      <x:c r="K397" s="20"/>
      <x:c r="L397" s="20"/>
      <x:c r="M397" s="21"/>
      <x:c r="N397" s="20"/>
      <x:c r="O397" s="24" t="str">
        <x:f>IF(C397="","",MAX(0,TODAY()-C397))</x:f>
      </x:c>
      <x:c r="P397" s="22" t="str">
        <x:f>IF(OR(G397="",J397=""),"",G397*J397)</x:f>
      </x:c>
      <x:c r="Q397" s="20"/>
      <x:c r="R397" s="20"/>
      <x:c r="S397" s="20"/>
      <x:c r="T397" s="22" t="str">
        <x:f>IF(K397="","",IFERROR(VLOOKUP(K397,Listas!$G$2:$J$8,4,FALSE),0))</x:f>
      </x:c>
      <x:c r="U397" s="23" t="n">
        <x:f>IFERROR(H397/T397,0)</x:f>
        <x:v>0</x:v>
      </x:c>
      <x:c r="V397" s="20"/>
    </x:row>
    <x:row r="398">
      <x:c r="A398" s="20"/>
      <x:c r="B398" s="20"/>
      <x:c r="C398" s="21"/>
      <x:c r="D398" s="20"/>
      <x:c r="E398" s="20"/>
      <x:c r="F398" s="20"/>
      <x:c r="G398" s="22"/>
      <x:c r="H398" s="22"/>
      <x:c r="I398" s="22"/>
      <x:c r="J398" s="23"/>
      <x:c r="K398" s="20"/>
      <x:c r="L398" s="20"/>
      <x:c r="M398" s="21"/>
      <x:c r="N398" s="20"/>
      <x:c r="O398" s="24" t="str">
        <x:f>IF(C398="","",MAX(0,TODAY()-C398))</x:f>
      </x:c>
      <x:c r="P398" s="22" t="str">
        <x:f>IF(OR(G398="",J398=""),"",G398*J398)</x:f>
      </x:c>
      <x:c r="Q398" s="20"/>
      <x:c r="R398" s="20"/>
      <x:c r="S398" s="20"/>
      <x:c r="T398" s="22" t="str">
        <x:f>IF(K398="","",IFERROR(VLOOKUP(K398,Listas!$G$2:$J$8,4,FALSE),0))</x:f>
      </x:c>
      <x:c r="U398" s="23" t="n">
        <x:f>IFERROR(H398/T398,0)</x:f>
        <x:v>0</x:v>
      </x:c>
      <x:c r="V398" s="20"/>
    </x:row>
    <x:row r="399">
      <x:c r="A399" s="20"/>
      <x:c r="B399" s="20"/>
      <x:c r="C399" s="21"/>
      <x:c r="D399" s="20"/>
      <x:c r="E399" s="20"/>
      <x:c r="F399" s="20"/>
      <x:c r="G399" s="22"/>
      <x:c r="H399" s="22"/>
      <x:c r="I399" s="22"/>
      <x:c r="J399" s="23"/>
      <x:c r="K399" s="20"/>
      <x:c r="L399" s="20"/>
      <x:c r="M399" s="21"/>
      <x:c r="N399" s="20"/>
      <x:c r="O399" s="24" t="str">
        <x:f>IF(C399="","",MAX(0,TODAY()-C399))</x:f>
      </x:c>
      <x:c r="P399" s="22" t="str">
        <x:f>IF(OR(G399="",J399=""),"",G399*J399)</x:f>
      </x:c>
      <x:c r="Q399" s="20"/>
      <x:c r="R399" s="20"/>
      <x:c r="S399" s="20"/>
      <x:c r="T399" s="22" t="str">
        <x:f>IF(K399="","",IFERROR(VLOOKUP(K399,Listas!$G$2:$J$8,4,FALSE),0))</x:f>
      </x:c>
      <x:c r="U399" s="23" t="n">
        <x:f>IFERROR(H399/T399,0)</x:f>
        <x:v>0</x:v>
      </x:c>
      <x:c r="V399" s="20"/>
    </x:row>
    <x:row r="400">
      <x:c r="A400" s="20"/>
      <x:c r="B400" s="20"/>
      <x:c r="C400" s="21"/>
      <x:c r="D400" s="20"/>
      <x:c r="E400" s="20"/>
      <x:c r="F400" s="20"/>
      <x:c r="G400" s="22"/>
      <x:c r="H400" s="22"/>
      <x:c r="I400" s="22"/>
      <x:c r="J400" s="23"/>
      <x:c r="K400" s="20"/>
      <x:c r="L400" s="20"/>
      <x:c r="M400" s="21"/>
      <x:c r="N400" s="20"/>
      <x:c r="O400" s="24" t="str">
        <x:f>IF(C400="","",MAX(0,TODAY()-C400))</x:f>
      </x:c>
      <x:c r="P400" s="22" t="str">
        <x:f>IF(OR(G400="",J400=""),"",G400*J400)</x:f>
      </x:c>
      <x:c r="Q400" s="20"/>
      <x:c r="R400" s="20"/>
      <x:c r="S400" s="20"/>
      <x:c r="T400" s="22" t="str">
        <x:f>IF(K400="","",IFERROR(VLOOKUP(K400,Listas!$G$2:$J$8,4,FALSE),0))</x:f>
      </x:c>
      <x:c r="U400" s="23" t="n">
        <x:f>IFERROR(H400/T400,0)</x:f>
        <x:v>0</x:v>
      </x:c>
      <x:c r="V400" s="20"/>
    </x:row>
    <x:row r="401">
      <x:c r="A401" s="20"/>
      <x:c r="B401" s="20"/>
      <x:c r="C401" s="21"/>
      <x:c r="D401" s="20"/>
      <x:c r="E401" s="20"/>
      <x:c r="F401" s="20"/>
      <x:c r="G401" s="22"/>
      <x:c r="H401" s="22"/>
      <x:c r="I401" s="22"/>
      <x:c r="J401" s="23"/>
      <x:c r="K401" s="20"/>
      <x:c r="L401" s="20"/>
      <x:c r="M401" s="21"/>
      <x:c r="N401" s="20"/>
      <x:c r="O401" s="24" t="str">
        <x:f>IF(C401="","",MAX(0,TODAY()-C401))</x:f>
      </x:c>
      <x:c r="P401" s="22" t="str">
        <x:f>IF(OR(G401="",J401=""),"",G401*J401)</x:f>
      </x:c>
      <x:c r="Q401" s="20"/>
      <x:c r="R401" s="20"/>
      <x:c r="S401" s="20"/>
      <x:c r="T401" s="22" t="str">
        <x:f>IF(K401="","",IFERROR(VLOOKUP(K401,Listas!$G$2:$J$8,4,FALSE),0))</x:f>
      </x:c>
      <x:c r="U401" s="23" t="n">
        <x:f>IFERROR(H401/T401,0)</x:f>
        <x:v>0</x:v>
      </x:c>
      <x:c r="V401" s="20"/>
    </x:row>
    <x:row r="402">
      <x:c r="A402" s="20"/>
      <x:c r="B402" s="20"/>
      <x:c r="C402" s="21"/>
      <x:c r="D402" s="20"/>
      <x:c r="E402" s="20"/>
      <x:c r="F402" s="20"/>
      <x:c r="G402" s="22"/>
      <x:c r="H402" s="22"/>
      <x:c r="I402" s="22"/>
      <x:c r="J402" s="23"/>
      <x:c r="K402" s="20"/>
      <x:c r="L402" s="20"/>
      <x:c r="M402" s="21"/>
      <x:c r="N402" s="20"/>
      <x:c r="O402" s="24" t="str">
        <x:f>IF(C402="","",MAX(0,TODAY()-C402))</x:f>
      </x:c>
      <x:c r="P402" s="22" t="str">
        <x:f>IF(OR(G402="",J402=""),"",G402*J402)</x:f>
      </x:c>
      <x:c r="Q402" s="20"/>
      <x:c r="R402" s="20"/>
      <x:c r="S402" s="20"/>
      <x:c r="T402" s="22" t="str">
        <x:f>IF(K402="","",IFERROR(VLOOKUP(K402,Listas!$G$2:$J$8,4,FALSE),0))</x:f>
      </x:c>
      <x:c r="U402" s="23" t="n">
        <x:f>IFERROR(H402/T402,0)</x:f>
        <x:v>0</x:v>
      </x:c>
      <x:c r="V402" s="20"/>
    </x:row>
    <x:row r="403">
      <x:c r="A403" s="20"/>
      <x:c r="B403" s="20"/>
      <x:c r="C403" s="21"/>
      <x:c r="D403" s="20"/>
      <x:c r="E403" s="20"/>
      <x:c r="F403" s="20"/>
      <x:c r="G403" s="22"/>
      <x:c r="H403" s="22"/>
      <x:c r="I403" s="22"/>
      <x:c r="J403" s="23"/>
      <x:c r="K403" s="20"/>
      <x:c r="L403" s="20"/>
      <x:c r="M403" s="21"/>
      <x:c r="N403" s="20"/>
      <x:c r="O403" s="24" t="str">
        <x:f>IF(C403="","",MAX(0,TODAY()-C403))</x:f>
      </x:c>
      <x:c r="P403" s="22" t="str">
        <x:f>IF(OR(G403="",J403=""),"",G403*J403)</x:f>
      </x:c>
      <x:c r="Q403" s="20"/>
      <x:c r="R403" s="20"/>
      <x:c r="S403" s="20"/>
      <x:c r="T403" s="22" t="str">
        <x:f>IF(K403="","",IFERROR(VLOOKUP(K403,Listas!$G$2:$J$8,4,FALSE),0))</x:f>
      </x:c>
      <x:c r="U403" s="23" t="n">
        <x:f>IFERROR(H403/T403,0)</x:f>
        <x:v>0</x:v>
      </x:c>
      <x:c r="V403" s="20"/>
    </x:row>
    <x:row r="404">
      <x:c r="A404" s="20"/>
      <x:c r="B404" s="20"/>
      <x:c r="C404" s="21"/>
      <x:c r="D404" s="20"/>
      <x:c r="E404" s="20"/>
      <x:c r="F404" s="20"/>
      <x:c r="G404" s="22"/>
      <x:c r="H404" s="22"/>
      <x:c r="I404" s="22"/>
      <x:c r="J404" s="23"/>
      <x:c r="K404" s="20"/>
      <x:c r="L404" s="20"/>
      <x:c r="M404" s="21"/>
      <x:c r="N404" s="20"/>
      <x:c r="O404" s="24" t="str">
        <x:f>IF(C404="","",MAX(0,TODAY()-C404))</x:f>
      </x:c>
      <x:c r="P404" s="22" t="str">
        <x:f>IF(OR(G404="",J404=""),"",G404*J404)</x:f>
      </x:c>
      <x:c r="Q404" s="20"/>
      <x:c r="R404" s="20"/>
      <x:c r="S404" s="20"/>
      <x:c r="T404" s="22" t="str">
        <x:f>IF(K404="","",IFERROR(VLOOKUP(K404,Listas!$G$2:$J$8,4,FALSE),0))</x:f>
      </x:c>
      <x:c r="U404" s="23" t="n">
        <x:f>IFERROR(H404/T404,0)</x:f>
        <x:v>0</x:v>
      </x:c>
      <x:c r="V404" s="20"/>
    </x:row>
    <x:row r="405">
      <x:c r="A405" s="20"/>
      <x:c r="B405" s="20"/>
      <x:c r="C405" s="21"/>
      <x:c r="D405" s="20"/>
      <x:c r="E405" s="20"/>
      <x:c r="F405" s="20"/>
      <x:c r="G405" s="22"/>
      <x:c r="H405" s="22"/>
      <x:c r="I405" s="22"/>
      <x:c r="J405" s="23"/>
      <x:c r="K405" s="20"/>
      <x:c r="L405" s="20"/>
      <x:c r="M405" s="21"/>
      <x:c r="N405" s="20"/>
      <x:c r="O405" s="24" t="str">
        <x:f>IF(C405="","",MAX(0,TODAY()-C405))</x:f>
      </x:c>
      <x:c r="P405" s="22" t="str">
        <x:f>IF(OR(G405="",J405=""),"",G405*J405)</x:f>
      </x:c>
      <x:c r="Q405" s="20"/>
      <x:c r="R405" s="20"/>
      <x:c r="S405" s="20"/>
      <x:c r="T405" s="22" t="str">
        <x:f>IF(K405="","",IFERROR(VLOOKUP(K405,Listas!$G$2:$J$8,4,FALSE),0))</x:f>
      </x:c>
      <x:c r="U405" s="23" t="n">
        <x:f>IFERROR(H405/T405,0)</x:f>
        <x:v>0</x:v>
      </x:c>
      <x:c r="V405" s="20"/>
    </x:row>
    <x:row r="406">
      <x:c r="A406" s="20"/>
      <x:c r="B406" s="20"/>
      <x:c r="C406" s="21"/>
      <x:c r="D406" s="20"/>
      <x:c r="E406" s="20"/>
      <x:c r="F406" s="20"/>
      <x:c r="G406" s="22"/>
      <x:c r="H406" s="22"/>
      <x:c r="I406" s="22"/>
      <x:c r="J406" s="23"/>
      <x:c r="K406" s="20"/>
      <x:c r="L406" s="20"/>
      <x:c r="M406" s="21"/>
      <x:c r="N406" s="20"/>
      <x:c r="O406" s="24" t="str">
        <x:f>IF(C406="","",MAX(0,TODAY()-C406))</x:f>
      </x:c>
      <x:c r="P406" s="22" t="str">
        <x:f>IF(OR(G406="",J406=""),"",G406*J406)</x:f>
      </x:c>
      <x:c r="Q406" s="20"/>
      <x:c r="R406" s="20"/>
      <x:c r="S406" s="20"/>
      <x:c r="T406" s="22" t="str">
        <x:f>IF(K406="","",IFERROR(VLOOKUP(K406,Listas!$G$2:$J$8,4,FALSE),0))</x:f>
      </x:c>
      <x:c r="U406" s="23" t="n">
        <x:f>IFERROR(H406/T406,0)</x:f>
        <x:v>0</x:v>
      </x:c>
      <x:c r="V406" s="20"/>
    </x:row>
    <x:row r="407">
      <x:c r="A407" s="20"/>
      <x:c r="B407" s="20"/>
      <x:c r="C407" s="21"/>
      <x:c r="D407" s="20"/>
      <x:c r="E407" s="20"/>
      <x:c r="F407" s="20"/>
      <x:c r="G407" s="22"/>
      <x:c r="H407" s="22"/>
      <x:c r="I407" s="22"/>
      <x:c r="J407" s="23"/>
      <x:c r="K407" s="20"/>
      <x:c r="L407" s="20"/>
      <x:c r="M407" s="21"/>
      <x:c r="N407" s="20"/>
      <x:c r="O407" s="24" t="str">
        <x:f>IF(C407="","",MAX(0,TODAY()-C407))</x:f>
      </x:c>
      <x:c r="P407" s="22" t="str">
        <x:f>IF(OR(G407="",J407=""),"",G407*J407)</x:f>
      </x:c>
      <x:c r="Q407" s="20"/>
      <x:c r="R407" s="20"/>
      <x:c r="S407" s="20"/>
      <x:c r="T407" s="22" t="str">
        <x:f>IF(K407="","",IFERROR(VLOOKUP(K407,Listas!$G$2:$J$8,4,FALSE),0))</x:f>
      </x:c>
      <x:c r="U407" s="23" t="n">
        <x:f>IFERROR(H407/T407,0)</x:f>
        <x:v>0</x:v>
      </x:c>
      <x:c r="V407" s="20"/>
    </x:row>
    <x:row r="408">
      <x:c r="A408" s="20"/>
      <x:c r="B408" s="20"/>
      <x:c r="C408" s="21"/>
      <x:c r="D408" s="20"/>
      <x:c r="E408" s="20"/>
      <x:c r="F408" s="20"/>
      <x:c r="G408" s="22"/>
      <x:c r="H408" s="22"/>
      <x:c r="I408" s="22"/>
      <x:c r="J408" s="23"/>
      <x:c r="K408" s="20"/>
      <x:c r="L408" s="20"/>
      <x:c r="M408" s="21"/>
      <x:c r="N408" s="20"/>
      <x:c r="O408" s="24" t="str">
        <x:f>IF(C408="","",MAX(0,TODAY()-C408))</x:f>
      </x:c>
      <x:c r="P408" s="22" t="str">
        <x:f>IF(OR(G408="",J408=""),"",G408*J408)</x:f>
      </x:c>
      <x:c r="Q408" s="20"/>
      <x:c r="R408" s="20"/>
      <x:c r="S408" s="20"/>
      <x:c r="T408" s="22" t="str">
        <x:f>IF(K408="","",IFERROR(VLOOKUP(K408,Listas!$G$2:$J$8,4,FALSE),0))</x:f>
      </x:c>
      <x:c r="U408" s="23" t="n">
        <x:f>IFERROR(H408/T408,0)</x:f>
        <x:v>0</x:v>
      </x:c>
      <x:c r="V408" s="20"/>
    </x:row>
    <x:row r="409">
      <x:c r="A409" s="20"/>
      <x:c r="B409" s="20"/>
      <x:c r="C409" s="21"/>
      <x:c r="D409" s="20"/>
      <x:c r="E409" s="20"/>
      <x:c r="F409" s="20"/>
      <x:c r="G409" s="22"/>
      <x:c r="H409" s="22"/>
      <x:c r="I409" s="22"/>
      <x:c r="J409" s="23"/>
      <x:c r="K409" s="20"/>
      <x:c r="L409" s="20"/>
      <x:c r="M409" s="21"/>
      <x:c r="N409" s="20"/>
      <x:c r="O409" s="24" t="str">
        <x:f>IF(C409="","",MAX(0,TODAY()-C409))</x:f>
      </x:c>
      <x:c r="P409" s="22" t="str">
        <x:f>IF(OR(G409="",J409=""),"",G409*J409)</x:f>
      </x:c>
      <x:c r="Q409" s="20"/>
      <x:c r="R409" s="20"/>
      <x:c r="S409" s="20"/>
      <x:c r="T409" s="22" t="str">
        <x:f>IF(K409="","",IFERROR(VLOOKUP(K409,Listas!$G$2:$J$8,4,FALSE),0))</x:f>
      </x:c>
      <x:c r="U409" s="23" t="n">
        <x:f>IFERROR(H409/T409,0)</x:f>
        <x:v>0</x:v>
      </x:c>
      <x:c r="V409" s="20"/>
    </x:row>
    <x:row r="410">
      <x:c r="A410" s="20"/>
      <x:c r="B410" s="20"/>
      <x:c r="C410" s="21"/>
      <x:c r="D410" s="20"/>
      <x:c r="E410" s="20"/>
      <x:c r="F410" s="20"/>
      <x:c r="G410" s="22"/>
      <x:c r="H410" s="22"/>
      <x:c r="I410" s="22"/>
      <x:c r="J410" s="23"/>
      <x:c r="K410" s="20"/>
      <x:c r="L410" s="20"/>
      <x:c r="M410" s="21"/>
      <x:c r="N410" s="20"/>
      <x:c r="O410" s="24" t="str">
        <x:f>IF(C410="","",MAX(0,TODAY()-C410))</x:f>
      </x:c>
      <x:c r="P410" s="22" t="str">
        <x:f>IF(OR(G410="",J410=""),"",G410*J410)</x:f>
      </x:c>
      <x:c r="Q410" s="20"/>
      <x:c r="R410" s="20"/>
      <x:c r="S410" s="20"/>
      <x:c r="T410" s="22" t="str">
        <x:f>IF(K410="","",IFERROR(VLOOKUP(K410,Listas!$G$2:$J$8,4,FALSE),0))</x:f>
      </x:c>
      <x:c r="U410" s="23" t="n">
        <x:f>IFERROR(H410/T410,0)</x:f>
        <x:v>0</x:v>
      </x:c>
      <x:c r="V410" s="20"/>
    </x:row>
    <x:row r="411">
      <x:c r="A411" s="20"/>
      <x:c r="B411" s="20"/>
      <x:c r="C411" s="21"/>
      <x:c r="D411" s="20"/>
      <x:c r="E411" s="20"/>
      <x:c r="F411" s="20"/>
      <x:c r="G411" s="22"/>
      <x:c r="H411" s="22"/>
      <x:c r="I411" s="22"/>
      <x:c r="J411" s="23"/>
      <x:c r="K411" s="20"/>
      <x:c r="L411" s="20"/>
      <x:c r="M411" s="21"/>
      <x:c r="N411" s="20"/>
      <x:c r="O411" s="24" t="str">
        <x:f>IF(C411="","",MAX(0,TODAY()-C411))</x:f>
      </x:c>
      <x:c r="P411" s="22" t="str">
        <x:f>IF(OR(G411="",J411=""),"",G411*J411)</x:f>
      </x:c>
      <x:c r="Q411" s="20"/>
      <x:c r="R411" s="20"/>
      <x:c r="S411" s="20"/>
      <x:c r="T411" s="22" t="str">
        <x:f>IF(K411="","",IFERROR(VLOOKUP(K411,Listas!$G$2:$J$8,4,FALSE),0))</x:f>
      </x:c>
      <x:c r="U411" s="23" t="n">
        <x:f>IFERROR(H411/T411,0)</x:f>
        <x:v>0</x:v>
      </x:c>
      <x:c r="V411" s="20"/>
    </x:row>
    <x:row r="412">
      <x:c r="A412" s="20"/>
      <x:c r="B412" s="20"/>
      <x:c r="C412" s="21"/>
      <x:c r="D412" s="20"/>
      <x:c r="E412" s="20"/>
      <x:c r="F412" s="20"/>
      <x:c r="G412" s="22"/>
      <x:c r="H412" s="22"/>
      <x:c r="I412" s="22"/>
      <x:c r="J412" s="23"/>
      <x:c r="K412" s="20"/>
      <x:c r="L412" s="20"/>
      <x:c r="M412" s="21"/>
      <x:c r="N412" s="20"/>
      <x:c r="O412" s="24" t="str">
        <x:f>IF(C412="","",MAX(0,TODAY()-C412))</x:f>
      </x:c>
      <x:c r="P412" s="22" t="str">
        <x:f>IF(OR(G412="",J412=""),"",G412*J412)</x:f>
      </x:c>
      <x:c r="Q412" s="20"/>
      <x:c r="R412" s="20"/>
      <x:c r="S412" s="20"/>
      <x:c r="T412" s="22" t="str">
        <x:f>IF(K412="","",IFERROR(VLOOKUP(K412,Listas!$G$2:$J$8,4,FALSE),0))</x:f>
      </x:c>
      <x:c r="U412" s="23" t="n">
        <x:f>IFERROR(H412/T412,0)</x:f>
        <x:v>0</x:v>
      </x:c>
      <x:c r="V412" s="20"/>
    </x:row>
    <x:row r="413">
      <x:c r="A413" s="20"/>
      <x:c r="B413" s="20"/>
      <x:c r="C413" s="21"/>
      <x:c r="D413" s="20"/>
      <x:c r="E413" s="20"/>
      <x:c r="F413" s="20"/>
      <x:c r="G413" s="22"/>
      <x:c r="H413" s="22"/>
      <x:c r="I413" s="22"/>
      <x:c r="J413" s="23"/>
      <x:c r="K413" s="20"/>
      <x:c r="L413" s="20"/>
      <x:c r="M413" s="21"/>
      <x:c r="N413" s="20"/>
      <x:c r="O413" s="24" t="str">
        <x:f>IF(C413="","",MAX(0,TODAY()-C413))</x:f>
      </x:c>
      <x:c r="P413" s="22" t="str">
        <x:f>IF(OR(G413="",J413=""),"",G413*J413)</x:f>
      </x:c>
      <x:c r="Q413" s="20"/>
      <x:c r="R413" s="20"/>
      <x:c r="S413" s="20"/>
      <x:c r="T413" s="22" t="str">
        <x:f>IF(K413="","",IFERROR(VLOOKUP(K413,Listas!$G$2:$J$8,4,FALSE),0))</x:f>
      </x:c>
      <x:c r="U413" s="23" t="n">
        <x:f>IFERROR(H413/T413,0)</x:f>
        <x:v>0</x:v>
      </x:c>
      <x:c r="V413" s="20"/>
    </x:row>
    <x:row r="414">
      <x:c r="A414" s="20"/>
      <x:c r="B414" s="20"/>
      <x:c r="C414" s="21"/>
      <x:c r="D414" s="20"/>
      <x:c r="E414" s="20"/>
      <x:c r="F414" s="20"/>
      <x:c r="G414" s="22"/>
      <x:c r="H414" s="22"/>
      <x:c r="I414" s="22"/>
      <x:c r="J414" s="23"/>
      <x:c r="K414" s="20"/>
      <x:c r="L414" s="20"/>
      <x:c r="M414" s="21"/>
      <x:c r="N414" s="20"/>
      <x:c r="O414" s="24" t="str">
        <x:f>IF(C414="","",MAX(0,TODAY()-C414))</x:f>
      </x:c>
      <x:c r="P414" s="22" t="str">
        <x:f>IF(OR(G414="",J414=""),"",G414*J414)</x:f>
      </x:c>
      <x:c r="Q414" s="20"/>
      <x:c r="R414" s="20"/>
      <x:c r="S414" s="20"/>
      <x:c r="T414" s="22" t="str">
        <x:f>IF(K414="","",IFERROR(VLOOKUP(K414,Listas!$G$2:$J$8,4,FALSE),0))</x:f>
      </x:c>
      <x:c r="U414" s="23" t="n">
        <x:f>IFERROR(H414/T414,0)</x:f>
        <x:v>0</x:v>
      </x:c>
      <x:c r="V414" s="20"/>
    </x:row>
    <x:row r="415">
      <x:c r="A415" s="20"/>
      <x:c r="B415" s="20"/>
      <x:c r="C415" s="21"/>
      <x:c r="D415" s="20"/>
      <x:c r="E415" s="20"/>
      <x:c r="F415" s="20"/>
      <x:c r="G415" s="22"/>
      <x:c r="H415" s="22"/>
      <x:c r="I415" s="22"/>
      <x:c r="J415" s="23"/>
      <x:c r="K415" s="20"/>
      <x:c r="L415" s="20"/>
      <x:c r="M415" s="21"/>
      <x:c r="N415" s="20"/>
      <x:c r="O415" s="24" t="str">
        <x:f>IF(C415="","",MAX(0,TODAY()-C415))</x:f>
      </x:c>
      <x:c r="P415" s="22" t="str">
        <x:f>IF(OR(G415="",J415=""),"",G415*J415)</x:f>
      </x:c>
      <x:c r="Q415" s="20"/>
      <x:c r="R415" s="20"/>
      <x:c r="S415" s="20"/>
      <x:c r="T415" s="22" t="str">
        <x:f>IF(K415="","",IFERROR(VLOOKUP(K415,Listas!$G$2:$J$8,4,FALSE),0))</x:f>
      </x:c>
      <x:c r="U415" s="23" t="n">
        <x:f>IFERROR(H415/T415,0)</x:f>
        <x:v>0</x:v>
      </x:c>
      <x:c r="V415" s="20"/>
    </x:row>
    <x:row r="416">
      <x:c r="A416" s="20"/>
      <x:c r="B416" s="20"/>
      <x:c r="C416" s="21"/>
      <x:c r="D416" s="20"/>
      <x:c r="E416" s="20"/>
      <x:c r="F416" s="20"/>
      <x:c r="G416" s="22"/>
      <x:c r="H416" s="22"/>
      <x:c r="I416" s="22"/>
      <x:c r="J416" s="23"/>
      <x:c r="K416" s="20"/>
      <x:c r="L416" s="20"/>
      <x:c r="M416" s="21"/>
      <x:c r="N416" s="20"/>
      <x:c r="O416" s="24" t="str">
        <x:f>IF(C416="","",MAX(0,TODAY()-C416))</x:f>
      </x:c>
      <x:c r="P416" s="22" t="str">
        <x:f>IF(OR(G416="",J416=""),"",G416*J416)</x:f>
      </x:c>
      <x:c r="Q416" s="20"/>
      <x:c r="R416" s="20"/>
      <x:c r="S416" s="20"/>
      <x:c r="T416" s="22" t="str">
        <x:f>IF(K416="","",IFERROR(VLOOKUP(K416,Listas!$G$2:$J$8,4,FALSE),0))</x:f>
      </x:c>
      <x:c r="U416" s="23" t="n">
        <x:f>IFERROR(H416/T416,0)</x:f>
        <x:v>0</x:v>
      </x:c>
      <x:c r="V416" s="20"/>
    </x:row>
    <x:row r="417">
      <x:c r="A417" s="20"/>
      <x:c r="B417" s="20"/>
      <x:c r="C417" s="21"/>
      <x:c r="D417" s="20"/>
      <x:c r="E417" s="20"/>
      <x:c r="F417" s="20"/>
      <x:c r="G417" s="22"/>
      <x:c r="H417" s="22"/>
      <x:c r="I417" s="22"/>
      <x:c r="J417" s="23"/>
      <x:c r="K417" s="20"/>
      <x:c r="L417" s="20"/>
      <x:c r="M417" s="21"/>
      <x:c r="N417" s="20"/>
      <x:c r="O417" s="24" t="str">
        <x:f>IF(C417="","",MAX(0,TODAY()-C417))</x:f>
      </x:c>
      <x:c r="P417" s="22" t="str">
        <x:f>IF(OR(G417="",J417=""),"",G417*J417)</x:f>
      </x:c>
      <x:c r="Q417" s="20"/>
      <x:c r="R417" s="20"/>
      <x:c r="S417" s="20"/>
      <x:c r="T417" s="22" t="str">
        <x:f>IF(K417="","",IFERROR(VLOOKUP(K417,Listas!$G$2:$J$8,4,FALSE),0))</x:f>
      </x:c>
      <x:c r="U417" s="23" t="n">
        <x:f>IFERROR(H417/T417,0)</x:f>
        <x:v>0</x:v>
      </x:c>
      <x:c r="V417" s="20"/>
    </x:row>
    <x:row r="418">
      <x:c r="A418" s="20"/>
      <x:c r="B418" s="20"/>
      <x:c r="C418" s="21"/>
      <x:c r="D418" s="20"/>
      <x:c r="E418" s="20"/>
      <x:c r="F418" s="20"/>
      <x:c r="G418" s="22"/>
      <x:c r="H418" s="22"/>
      <x:c r="I418" s="22"/>
      <x:c r="J418" s="23"/>
      <x:c r="K418" s="20"/>
      <x:c r="L418" s="20"/>
      <x:c r="M418" s="21"/>
      <x:c r="N418" s="20"/>
      <x:c r="O418" s="24" t="str">
        <x:f>IF(C418="","",MAX(0,TODAY()-C418))</x:f>
      </x:c>
      <x:c r="P418" s="22" t="str">
        <x:f>IF(OR(G418="",J418=""),"",G418*J418)</x:f>
      </x:c>
      <x:c r="Q418" s="20"/>
      <x:c r="R418" s="20"/>
      <x:c r="S418" s="20"/>
      <x:c r="T418" s="22" t="str">
        <x:f>IF(K418="","",IFERROR(VLOOKUP(K418,Listas!$G$2:$J$8,4,FALSE),0))</x:f>
      </x:c>
      <x:c r="U418" s="23" t="n">
        <x:f>IFERROR(H418/T418,0)</x:f>
        <x:v>0</x:v>
      </x:c>
      <x:c r="V418" s="20"/>
    </x:row>
    <x:row r="419">
      <x:c r="A419" s="20"/>
      <x:c r="B419" s="20"/>
      <x:c r="C419" s="21"/>
      <x:c r="D419" s="20"/>
      <x:c r="E419" s="20"/>
      <x:c r="F419" s="20"/>
      <x:c r="G419" s="22"/>
      <x:c r="H419" s="22"/>
      <x:c r="I419" s="22"/>
      <x:c r="J419" s="23"/>
      <x:c r="K419" s="20"/>
      <x:c r="L419" s="20"/>
      <x:c r="M419" s="21"/>
      <x:c r="N419" s="20"/>
      <x:c r="O419" s="24" t="str">
        <x:f>IF(C419="","",MAX(0,TODAY()-C419))</x:f>
      </x:c>
      <x:c r="P419" s="22" t="str">
        <x:f>IF(OR(G419="",J419=""),"",G419*J419)</x:f>
      </x:c>
      <x:c r="Q419" s="20"/>
      <x:c r="R419" s="20"/>
      <x:c r="S419" s="20"/>
      <x:c r="T419" s="22" t="str">
        <x:f>IF(K419="","",IFERROR(VLOOKUP(K419,Listas!$G$2:$J$8,4,FALSE),0))</x:f>
      </x:c>
      <x:c r="U419" s="23" t="n">
        <x:f>IFERROR(H419/T419,0)</x:f>
        <x:v>0</x:v>
      </x:c>
      <x:c r="V419" s="20"/>
    </x:row>
    <x:row r="420">
      <x:c r="A420" s="20"/>
      <x:c r="B420" s="20"/>
      <x:c r="C420" s="21"/>
      <x:c r="D420" s="20"/>
      <x:c r="E420" s="20"/>
      <x:c r="F420" s="20"/>
      <x:c r="G420" s="22"/>
      <x:c r="H420" s="22"/>
      <x:c r="I420" s="22"/>
      <x:c r="J420" s="23"/>
      <x:c r="K420" s="20"/>
      <x:c r="L420" s="20"/>
      <x:c r="M420" s="21"/>
      <x:c r="N420" s="20"/>
      <x:c r="O420" s="24" t="str">
        <x:f>IF(C420="","",MAX(0,TODAY()-C420))</x:f>
      </x:c>
      <x:c r="P420" s="22" t="str">
        <x:f>IF(OR(G420="",J420=""),"",G420*J420)</x:f>
      </x:c>
      <x:c r="Q420" s="20"/>
      <x:c r="R420" s="20"/>
      <x:c r="S420" s="20"/>
      <x:c r="T420" s="22" t="str">
        <x:f>IF(K420="","",IFERROR(VLOOKUP(K420,Listas!$G$2:$J$8,4,FALSE),0))</x:f>
      </x:c>
      <x:c r="U420" s="23" t="n">
        <x:f>IFERROR(H420/T420,0)</x:f>
        <x:v>0</x:v>
      </x:c>
      <x:c r="V420" s="20"/>
    </x:row>
    <x:row r="421">
      <x:c r="A421" s="20"/>
      <x:c r="B421" s="20"/>
      <x:c r="C421" s="21"/>
      <x:c r="D421" s="20"/>
      <x:c r="E421" s="20"/>
      <x:c r="F421" s="20"/>
      <x:c r="G421" s="22"/>
      <x:c r="H421" s="22"/>
      <x:c r="I421" s="22"/>
      <x:c r="J421" s="23"/>
      <x:c r="K421" s="20"/>
      <x:c r="L421" s="20"/>
      <x:c r="M421" s="21"/>
      <x:c r="N421" s="20"/>
      <x:c r="O421" s="24" t="str">
        <x:f>IF(C421="","",MAX(0,TODAY()-C421))</x:f>
      </x:c>
      <x:c r="P421" s="22" t="str">
        <x:f>IF(OR(G421="",J421=""),"",G421*J421)</x:f>
      </x:c>
      <x:c r="Q421" s="20"/>
      <x:c r="R421" s="20"/>
      <x:c r="S421" s="20"/>
      <x:c r="T421" s="22" t="str">
        <x:f>IF(K421="","",IFERROR(VLOOKUP(K421,Listas!$G$2:$J$8,4,FALSE),0))</x:f>
      </x:c>
      <x:c r="U421" s="23" t="n">
        <x:f>IFERROR(H421/T421,0)</x:f>
        <x:v>0</x:v>
      </x:c>
      <x:c r="V421" s="20"/>
    </x:row>
    <x:row r="422">
      <x:c r="A422" s="20"/>
      <x:c r="B422" s="20"/>
      <x:c r="C422" s="21"/>
      <x:c r="D422" s="20"/>
      <x:c r="E422" s="20"/>
      <x:c r="F422" s="20"/>
      <x:c r="G422" s="22"/>
      <x:c r="H422" s="22"/>
      <x:c r="I422" s="22"/>
      <x:c r="J422" s="23"/>
      <x:c r="K422" s="20"/>
      <x:c r="L422" s="20"/>
      <x:c r="M422" s="21"/>
      <x:c r="N422" s="20"/>
      <x:c r="O422" s="24" t="str">
        <x:f>IF(C422="","",MAX(0,TODAY()-C422))</x:f>
      </x:c>
      <x:c r="P422" s="22" t="str">
        <x:f>IF(OR(G422="",J422=""),"",G422*J422)</x:f>
      </x:c>
      <x:c r="Q422" s="20"/>
      <x:c r="R422" s="20"/>
      <x:c r="S422" s="20"/>
      <x:c r="T422" s="22" t="str">
        <x:f>IF(K422="","",IFERROR(VLOOKUP(K422,Listas!$G$2:$J$8,4,FALSE),0))</x:f>
      </x:c>
      <x:c r="U422" s="23" t="n">
        <x:f>IFERROR(H422/T422,0)</x:f>
        <x:v>0</x:v>
      </x:c>
      <x:c r="V422" s="20"/>
    </x:row>
    <x:row r="423">
      <x:c r="A423" s="20"/>
      <x:c r="B423" s="20"/>
      <x:c r="C423" s="21"/>
      <x:c r="D423" s="20"/>
      <x:c r="E423" s="20"/>
      <x:c r="F423" s="20"/>
      <x:c r="G423" s="22"/>
      <x:c r="H423" s="22"/>
      <x:c r="I423" s="22"/>
      <x:c r="J423" s="23"/>
      <x:c r="K423" s="20"/>
      <x:c r="L423" s="20"/>
      <x:c r="M423" s="21"/>
      <x:c r="N423" s="20"/>
      <x:c r="O423" s="24" t="str">
        <x:f>IF(C423="","",MAX(0,TODAY()-C423))</x:f>
      </x:c>
      <x:c r="P423" s="22" t="str">
        <x:f>IF(OR(G423="",J423=""),"",G423*J423)</x:f>
      </x:c>
      <x:c r="Q423" s="20"/>
      <x:c r="R423" s="20"/>
      <x:c r="S423" s="20"/>
      <x:c r="T423" s="22" t="str">
        <x:f>IF(K423="","",IFERROR(VLOOKUP(K423,Listas!$G$2:$J$8,4,FALSE),0))</x:f>
      </x:c>
      <x:c r="U423" s="23" t="n">
        <x:f>IFERROR(H423/T423,0)</x:f>
        <x:v>0</x:v>
      </x:c>
      <x:c r="V423" s="20"/>
    </x:row>
    <x:row r="424">
      <x:c r="A424" s="20"/>
      <x:c r="B424" s="20"/>
      <x:c r="C424" s="21"/>
      <x:c r="D424" s="20"/>
      <x:c r="E424" s="20"/>
      <x:c r="F424" s="20"/>
      <x:c r="G424" s="22"/>
      <x:c r="H424" s="22"/>
      <x:c r="I424" s="22"/>
      <x:c r="J424" s="23"/>
      <x:c r="K424" s="20"/>
      <x:c r="L424" s="20"/>
      <x:c r="M424" s="21"/>
      <x:c r="N424" s="20"/>
      <x:c r="O424" s="24" t="str">
        <x:f>IF(C424="","",MAX(0,TODAY()-C424))</x:f>
      </x:c>
      <x:c r="P424" s="22" t="str">
        <x:f>IF(OR(G424="",J424=""),"",G424*J424)</x:f>
      </x:c>
      <x:c r="Q424" s="20"/>
      <x:c r="R424" s="20"/>
      <x:c r="S424" s="20"/>
      <x:c r="T424" s="22" t="str">
        <x:f>IF(K424="","",IFERROR(VLOOKUP(K424,Listas!$G$2:$J$8,4,FALSE),0))</x:f>
      </x:c>
      <x:c r="U424" s="23" t="n">
        <x:f>IFERROR(H424/T424,0)</x:f>
        <x:v>0</x:v>
      </x:c>
      <x:c r="V424" s="20"/>
    </x:row>
    <x:row r="425">
      <x:c r="A425" s="20"/>
      <x:c r="B425" s="20"/>
      <x:c r="C425" s="21"/>
      <x:c r="D425" s="20"/>
      <x:c r="E425" s="20"/>
      <x:c r="F425" s="20"/>
      <x:c r="G425" s="22"/>
      <x:c r="H425" s="22"/>
      <x:c r="I425" s="22"/>
      <x:c r="J425" s="23"/>
      <x:c r="K425" s="20"/>
      <x:c r="L425" s="20"/>
      <x:c r="M425" s="21"/>
      <x:c r="N425" s="20"/>
      <x:c r="O425" s="24" t="str">
        <x:f>IF(C425="","",MAX(0,TODAY()-C425))</x:f>
      </x:c>
      <x:c r="P425" s="22" t="str">
        <x:f>IF(OR(G425="",J425=""),"",G425*J425)</x:f>
      </x:c>
      <x:c r="Q425" s="20"/>
      <x:c r="R425" s="20"/>
      <x:c r="S425" s="20"/>
      <x:c r="T425" s="22" t="str">
        <x:f>IF(K425="","",IFERROR(VLOOKUP(K425,Listas!$G$2:$J$8,4,FALSE),0))</x:f>
      </x:c>
      <x:c r="U425" s="23" t="n">
        <x:f>IFERROR(H425/T425,0)</x:f>
        <x:v>0</x:v>
      </x:c>
      <x:c r="V425" s="20"/>
    </x:row>
    <x:row r="426">
      <x:c r="A426" s="20"/>
      <x:c r="B426" s="20"/>
      <x:c r="C426" s="21"/>
      <x:c r="D426" s="20"/>
      <x:c r="E426" s="20"/>
      <x:c r="F426" s="20"/>
      <x:c r="G426" s="22"/>
      <x:c r="H426" s="22"/>
      <x:c r="I426" s="22"/>
      <x:c r="J426" s="23"/>
      <x:c r="K426" s="20"/>
      <x:c r="L426" s="20"/>
      <x:c r="M426" s="21"/>
      <x:c r="N426" s="20"/>
      <x:c r="O426" s="24" t="str">
        <x:f>IF(C426="","",MAX(0,TODAY()-C426))</x:f>
      </x:c>
      <x:c r="P426" s="22" t="str">
        <x:f>IF(OR(G426="",J426=""),"",G426*J426)</x:f>
      </x:c>
      <x:c r="Q426" s="20"/>
      <x:c r="R426" s="20"/>
      <x:c r="S426" s="20"/>
      <x:c r="T426" s="22" t="str">
        <x:f>IF(K426="","",IFERROR(VLOOKUP(K426,Listas!$G$2:$J$8,4,FALSE),0))</x:f>
      </x:c>
      <x:c r="U426" s="23" t="n">
        <x:f>IFERROR(H426/T426,0)</x:f>
        <x:v>0</x:v>
      </x:c>
      <x:c r="V426" s="20"/>
    </x:row>
    <x:row r="427">
      <x:c r="A427" s="20"/>
      <x:c r="B427" s="20"/>
      <x:c r="C427" s="21"/>
      <x:c r="D427" s="20"/>
      <x:c r="E427" s="20"/>
      <x:c r="F427" s="20"/>
      <x:c r="G427" s="22"/>
      <x:c r="H427" s="22"/>
      <x:c r="I427" s="22"/>
      <x:c r="J427" s="23"/>
      <x:c r="K427" s="20"/>
      <x:c r="L427" s="20"/>
      <x:c r="M427" s="21"/>
      <x:c r="N427" s="20"/>
      <x:c r="O427" s="24" t="str">
        <x:f>IF(C427="","",MAX(0,TODAY()-C427))</x:f>
      </x:c>
      <x:c r="P427" s="22" t="str">
        <x:f>IF(OR(G427="",J427=""),"",G427*J427)</x:f>
      </x:c>
      <x:c r="Q427" s="20"/>
      <x:c r="R427" s="20"/>
      <x:c r="S427" s="20"/>
      <x:c r="T427" s="22" t="str">
        <x:f>IF(K427="","",IFERROR(VLOOKUP(K427,Listas!$G$2:$J$8,4,FALSE),0))</x:f>
      </x:c>
      <x:c r="U427" s="23" t="n">
        <x:f>IFERROR(H427/T427,0)</x:f>
        <x:v>0</x:v>
      </x:c>
      <x:c r="V427" s="20"/>
    </x:row>
    <x:row r="428">
      <x:c r="A428" s="20"/>
      <x:c r="B428" s="20"/>
      <x:c r="C428" s="21"/>
      <x:c r="D428" s="20"/>
      <x:c r="E428" s="20"/>
      <x:c r="F428" s="20"/>
      <x:c r="G428" s="22"/>
      <x:c r="H428" s="22"/>
      <x:c r="I428" s="22"/>
      <x:c r="J428" s="23"/>
      <x:c r="K428" s="20"/>
      <x:c r="L428" s="20"/>
      <x:c r="M428" s="21"/>
      <x:c r="N428" s="20"/>
      <x:c r="O428" s="24" t="str">
        <x:f>IF(C428="","",MAX(0,TODAY()-C428))</x:f>
      </x:c>
      <x:c r="P428" s="22" t="str">
        <x:f>IF(OR(G428="",J428=""),"",G428*J428)</x:f>
      </x:c>
      <x:c r="Q428" s="20"/>
      <x:c r="R428" s="20"/>
      <x:c r="S428" s="20"/>
      <x:c r="T428" s="22" t="str">
        <x:f>IF(K428="","",IFERROR(VLOOKUP(K428,Listas!$G$2:$J$8,4,FALSE),0))</x:f>
      </x:c>
      <x:c r="U428" s="23" t="n">
        <x:f>IFERROR(H428/T428,0)</x:f>
        <x:v>0</x:v>
      </x:c>
      <x:c r="V428" s="20"/>
    </x:row>
    <x:row r="429">
      <x:c r="A429" s="20"/>
      <x:c r="B429" s="20"/>
      <x:c r="C429" s="21"/>
      <x:c r="D429" s="20"/>
      <x:c r="E429" s="20"/>
      <x:c r="F429" s="20"/>
      <x:c r="G429" s="22"/>
      <x:c r="H429" s="22"/>
      <x:c r="I429" s="22"/>
      <x:c r="J429" s="23"/>
      <x:c r="K429" s="20"/>
      <x:c r="L429" s="20"/>
      <x:c r="M429" s="21"/>
      <x:c r="N429" s="20"/>
      <x:c r="O429" s="24" t="str">
        <x:f>IF(C429="","",MAX(0,TODAY()-C429))</x:f>
      </x:c>
      <x:c r="P429" s="22" t="str">
        <x:f>IF(OR(G429="",J429=""),"",G429*J429)</x:f>
      </x:c>
      <x:c r="Q429" s="20"/>
      <x:c r="R429" s="20"/>
      <x:c r="S429" s="20"/>
      <x:c r="T429" s="22" t="str">
        <x:f>IF(K429="","",IFERROR(VLOOKUP(K429,Listas!$G$2:$J$8,4,FALSE),0))</x:f>
      </x:c>
      <x:c r="U429" s="23" t="n">
        <x:f>IFERROR(H429/T429,0)</x:f>
        <x:v>0</x:v>
      </x:c>
      <x:c r="V429" s="20"/>
    </x:row>
    <x:row r="430">
      <x:c r="A430" s="20"/>
      <x:c r="B430" s="20"/>
      <x:c r="C430" s="21"/>
      <x:c r="D430" s="20"/>
      <x:c r="E430" s="20"/>
      <x:c r="F430" s="20"/>
      <x:c r="G430" s="22"/>
      <x:c r="H430" s="22"/>
      <x:c r="I430" s="22"/>
      <x:c r="J430" s="23"/>
      <x:c r="K430" s="20"/>
      <x:c r="L430" s="20"/>
      <x:c r="M430" s="21"/>
      <x:c r="N430" s="20"/>
      <x:c r="O430" s="24" t="str">
        <x:f>IF(C430="","",MAX(0,TODAY()-C430))</x:f>
      </x:c>
      <x:c r="P430" s="22" t="str">
        <x:f>IF(OR(G430="",J430=""),"",G430*J430)</x:f>
      </x:c>
      <x:c r="Q430" s="20"/>
      <x:c r="R430" s="20"/>
      <x:c r="S430" s="20"/>
      <x:c r="T430" s="22" t="str">
        <x:f>IF(K430="","",IFERROR(VLOOKUP(K430,Listas!$G$2:$J$8,4,FALSE),0))</x:f>
      </x:c>
      <x:c r="U430" s="23" t="n">
        <x:f>IFERROR(H430/T430,0)</x:f>
        <x:v>0</x:v>
      </x:c>
      <x:c r="V430" s="20"/>
    </x:row>
    <x:row r="431">
      <x:c r="A431" s="20"/>
      <x:c r="B431" s="20"/>
      <x:c r="C431" s="21"/>
      <x:c r="D431" s="20"/>
      <x:c r="E431" s="20"/>
      <x:c r="F431" s="20"/>
      <x:c r="G431" s="22"/>
      <x:c r="H431" s="22"/>
      <x:c r="I431" s="22"/>
      <x:c r="J431" s="23"/>
      <x:c r="K431" s="20"/>
      <x:c r="L431" s="20"/>
      <x:c r="M431" s="21"/>
      <x:c r="N431" s="20"/>
      <x:c r="O431" s="24" t="str">
        <x:f>IF(C431="","",MAX(0,TODAY()-C431))</x:f>
      </x:c>
      <x:c r="P431" s="22" t="str">
        <x:f>IF(OR(G431="",J431=""),"",G431*J431)</x:f>
      </x:c>
      <x:c r="Q431" s="20"/>
      <x:c r="R431" s="20"/>
      <x:c r="S431" s="20"/>
      <x:c r="T431" s="22" t="str">
        <x:f>IF(K431="","",IFERROR(VLOOKUP(K431,Listas!$G$2:$J$8,4,FALSE),0))</x:f>
      </x:c>
      <x:c r="U431" s="23" t="n">
        <x:f>IFERROR(H431/T431,0)</x:f>
        <x:v>0</x:v>
      </x:c>
      <x:c r="V431" s="20"/>
    </x:row>
    <x:row r="432">
      <x:c r="A432" s="20"/>
      <x:c r="B432" s="20"/>
      <x:c r="C432" s="21"/>
      <x:c r="D432" s="20"/>
      <x:c r="E432" s="20"/>
      <x:c r="F432" s="20"/>
      <x:c r="G432" s="22"/>
      <x:c r="H432" s="22"/>
      <x:c r="I432" s="22"/>
      <x:c r="J432" s="23"/>
      <x:c r="K432" s="20"/>
      <x:c r="L432" s="20"/>
      <x:c r="M432" s="21"/>
      <x:c r="N432" s="20"/>
      <x:c r="O432" s="24" t="str">
        <x:f>IF(C432="","",MAX(0,TODAY()-C432))</x:f>
      </x:c>
      <x:c r="P432" s="22" t="str">
        <x:f>IF(OR(G432="",J432=""),"",G432*J432)</x:f>
      </x:c>
      <x:c r="Q432" s="20"/>
      <x:c r="R432" s="20"/>
      <x:c r="S432" s="20"/>
      <x:c r="T432" s="22" t="str">
        <x:f>IF(K432="","",IFERROR(VLOOKUP(K432,Listas!$G$2:$J$8,4,FALSE),0))</x:f>
      </x:c>
      <x:c r="U432" s="23" t="n">
        <x:f>IFERROR(H432/T432,0)</x:f>
        <x:v>0</x:v>
      </x:c>
      <x:c r="V432" s="20"/>
    </x:row>
    <x:row r="433">
      <x:c r="A433" s="20"/>
      <x:c r="B433" s="20"/>
      <x:c r="C433" s="21"/>
      <x:c r="D433" s="20"/>
      <x:c r="E433" s="20"/>
      <x:c r="F433" s="20"/>
      <x:c r="G433" s="22"/>
      <x:c r="H433" s="22"/>
      <x:c r="I433" s="22"/>
      <x:c r="J433" s="23"/>
      <x:c r="K433" s="20"/>
      <x:c r="L433" s="20"/>
      <x:c r="M433" s="21"/>
      <x:c r="N433" s="20"/>
      <x:c r="O433" s="24" t="str">
        <x:f>IF(C433="","",MAX(0,TODAY()-C433))</x:f>
      </x:c>
      <x:c r="P433" s="22" t="str">
        <x:f>IF(OR(G433="",J433=""),"",G433*J433)</x:f>
      </x:c>
      <x:c r="Q433" s="20"/>
      <x:c r="R433" s="20"/>
      <x:c r="S433" s="20"/>
      <x:c r="T433" s="22" t="str">
        <x:f>IF(K433="","",IFERROR(VLOOKUP(K433,Listas!$G$2:$J$8,4,FALSE),0))</x:f>
      </x:c>
      <x:c r="U433" s="23" t="n">
        <x:f>IFERROR(H433/T433,0)</x:f>
        <x:v>0</x:v>
      </x:c>
      <x:c r="V433" s="20"/>
    </x:row>
    <x:row r="434">
      <x:c r="A434" s="20"/>
      <x:c r="B434" s="20"/>
      <x:c r="C434" s="21"/>
      <x:c r="D434" s="20"/>
      <x:c r="E434" s="20"/>
      <x:c r="F434" s="20"/>
      <x:c r="G434" s="22"/>
      <x:c r="H434" s="22"/>
      <x:c r="I434" s="22"/>
      <x:c r="J434" s="23"/>
      <x:c r="K434" s="20"/>
      <x:c r="L434" s="20"/>
      <x:c r="M434" s="21"/>
      <x:c r="N434" s="20"/>
      <x:c r="O434" s="24" t="str">
        <x:f>IF(C434="","",MAX(0,TODAY()-C434))</x:f>
      </x:c>
      <x:c r="P434" s="22" t="str">
        <x:f>IF(OR(G434="",J434=""),"",G434*J434)</x:f>
      </x:c>
      <x:c r="Q434" s="20"/>
      <x:c r="R434" s="20"/>
      <x:c r="S434" s="20"/>
      <x:c r="T434" s="22" t="str">
        <x:f>IF(K434="","",IFERROR(VLOOKUP(K434,Listas!$G$2:$J$8,4,FALSE),0))</x:f>
      </x:c>
      <x:c r="U434" s="23" t="n">
        <x:f>IFERROR(H434/T434,0)</x:f>
        <x:v>0</x:v>
      </x:c>
      <x:c r="V434" s="20"/>
    </x:row>
    <x:row r="435">
      <x:c r="A435" s="20"/>
      <x:c r="B435" s="20"/>
      <x:c r="C435" s="21"/>
      <x:c r="D435" s="20"/>
      <x:c r="E435" s="20"/>
      <x:c r="F435" s="20"/>
      <x:c r="G435" s="22"/>
      <x:c r="H435" s="22"/>
      <x:c r="I435" s="22"/>
      <x:c r="J435" s="23"/>
      <x:c r="K435" s="20"/>
      <x:c r="L435" s="20"/>
      <x:c r="M435" s="21"/>
      <x:c r="N435" s="20"/>
      <x:c r="O435" s="24" t="str">
        <x:f>IF(C435="","",MAX(0,TODAY()-C435))</x:f>
      </x:c>
      <x:c r="P435" s="22" t="str">
        <x:f>IF(OR(G435="",J435=""),"",G435*J435)</x:f>
      </x:c>
      <x:c r="Q435" s="20"/>
      <x:c r="R435" s="20"/>
      <x:c r="S435" s="20"/>
      <x:c r="T435" s="22" t="str">
        <x:f>IF(K435="","",IFERROR(VLOOKUP(K435,Listas!$G$2:$J$8,4,FALSE),0))</x:f>
      </x:c>
      <x:c r="U435" s="23" t="n">
        <x:f>IFERROR(H435/T435,0)</x:f>
        <x:v>0</x:v>
      </x:c>
      <x:c r="V435" s="20"/>
    </x:row>
    <x:row r="436">
      <x:c r="A436" s="20"/>
      <x:c r="B436" s="20"/>
      <x:c r="C436" s="21"/>
      <x:c r="D436" s="20"/>
      <x:c r="E436" s="20"/>
      <x:c r="F436" s="20"/>
      <x:c r="G436" s="22"/>
      <x:c r="H436" s="22"/>
      <x:c r="I436" s="22"/>
      <x:c r="J436" s="23"/>
      <x:c r="K436" s="20"/>
      <x:c r="L436" s="20"/>
      <x:c r="M436" s="21"/>
      <x:c r="N436" s="20"/>
      <x:c r="O436" s="24" t="str">
        <x:f>IF(C436="","",MAX(0,TODAY()-C436))</x:f>
      </x:c>
      <x:c r="P436" s="22" t="str">
        <x:f>IF(OR(G436="",J436=""),"",G436*J436)</x:f>
      </x:c>
      <x:c r="Q436" s="20"/>
      <x:c r="R436" s="20"/>
      <x:c r="S436" s="20"/>
      <x:c r="T436" s="22" t="str">
        <x:f>IF(K436="","",IFERROR(VLOOKUP(K436,Listas!$G$2:$J$8,4,FALSE),0))</x:f>
      </x:c>
      <x:c r="U436" s="23" t="n">
        <x:f>IFERROR(H436/T436,0)</x:f>
        <x:v>0</x:v>
      </x:c>
      <x:c r="V436" s="20"/>
    </x:row>
    <x:row r="437">
      <x:c r="A437" s="20"/>
      <x:c r="B437" s="20"/>
      <x:c r="C437" s="21"/>
      <x:c r="D437" s="20"/>
      <x:c r="E437" s="20"/>
      <x:c r="F437" s="20"/>
      <x:c r="G437" s="22"/>
      <x:c r="H437" s="22"/>
      <x:c r="I437" s="22"/>
      <x:c r="J437" s="23"/>
      <x:c r="K437" s="20"/>
      <x:c r="L437" s="20"/>
      <x:c r="M437" s="21"/>
      <x:c r="N437" s="20"/>
      <x:c r="O437" s="24" t="str">
        <x:f>IF(C437="","",MAX(0,TODAY()-C437))</x:f>
      </x:c>
      <x:c r="P437" s="22" t="str">
        <x:f>IF(OR(G437="",J437=""),"",G437*J437)</x:f>
      </x:c>
      <x:c r="Q437" s="20"/>
      <x:c r="R437" s="20"/>
      <x:c r="S437" s="20"/>
      <x:c r="T437" s="22" t="str">
        <x:f>IF(K437="","",IFERROR(VLOOKUP(K437,Listas!$G$2:$J$8,4,FALSE),0))</x:f>
      </x:c>
      <x:c r="U437" s="23" t="n">
        <x:f>IFERROR(H437/T437,0)</x:f>
        <x:v>0</x:v>
      </x:c>
      <x:c r="V437" s="20"/>
    </x:row>
    <x:row r="438">
      <x:c r="A438" s="20"/>
      <x:c r="B438" s="20"/>
      <x:c r="C438" s="21"/>
      <x:c r="D438" s="20"/>
      <x:c r="E438" s="20"/>
      <x:c r="F438" s="20"/>
      <x:c r="G438" s="22"/>
      <x:c r="H438" s="22"/>
      <x:c r="I438" s="22"/>
      <x:c r="J438" s="23"/>
      <x:c r="K438" s="20"/>
      <x:c r="L438" s="20"/>
      <x:c r="M438" s="21"/>
      <x:c r="N438" s="20"/>
      <x:c r="O438" s="24" t="str">
        <x:f>IF(C438="","",MAX(0,TODAY()-C438))</x:f>
      </x:c>
      <x:c r="P438" s="22" t="str">
        <x:f>IF(OR(G438="",J438=""),"",G438*J438)</x:f>
      </x:c>
      <x:c r="Q438" s="20"/>
      <x:c r="R438" s="20"/>
      <x:c r="S438" s="20"/>
      <x:c r="T438" s="22" t="str">
        <x:f>IF(K438="","",IFERROR(VLOOKUP(K438,Listas!$G$2:$J$8,4,FALSE),0))</x:f>
      </x:c>
      <x:c r="U438" s="23" t="n">
        <x:f>IFERROR(H438/T438,0)</x:f>
        <x:v>0</x:v>
      </x:c>
      <x:c r="V438" s="20"/>
    </x:row>
    <x:row r="439">
      <x:c r="A439" s="20"/>
      <x:c r="B439" s="20"/>
      <x:c r="C439" s="21"/>
      <x:c r="D439" s="20"/>
      <x:c r="E439" s="20"/>
      <x:c r="F439" s="20"/>
      <x:c r="G439" s="22"/>
      <x:c r="H439" s="22"/>
      <x:c r="I439" s="22"/>
      <x:c r="J439" s="23"/>
      <x:c r="K439" s="20"/>
      <x:c r="L439" s="20"/>
      <x:c r="M439" s="21"/>
      <x:c r="N439" s="20"/>
      <x:c r="O439" s="24" t="str">
        <x:f>IF(C439="","",MAX(0,TODAY()-C439))</x:f>
      </x:c>
      <x:c r="P439" s="22" t="str">
        <x:f>IF(OR(G439="",J439=""),"",G439*J439)</x:f>
      </x:c>
      <x:c r="Q439" s="20"/>
      <x:c r="R439" s="20"/>
      <x:c r="S439" s="20"/>
      <x:c r="T439" s="22" t="str">
        <x:f>IF(K439="","",IFERROR(VLOOKUP(K439,Listas!$G$2:$J$8,4,FALSE),0))</x:f>
      </x:c>
      <x:c r="U439" s="23" t="n">
        <x:f>IFERROR(H439/T439,0)</x:f>
        <x:v>0</x:v>
      </x:c>
      <x:c r="V439" s="20"/>
    </x:row>
    <x:row r="440">
      <x:c r="A440" s="20"/>
      <x:c r="B440" s="20"/>
      <x:c r="C440" s="21"/>
      <x:c r="D440" s="20"/>
      <x:c r="E440" s="20"/>
      <x:c r="F440" s="20"/>
      <x:c r="G440" s="22"/>
      <x:c r="H440" s="22"/>
      <x:c r="I440" s="22"/>
      <x:c r="J440" s="23"/>
      <x:c r="K440" s="20"/>
      <x:c r="L440" s="20"/>
      <x:c r="M440" s="21"/>
      <x:c r="N440" s="20"/>
      <x:c r="O440" s="24" t="str">
        <x:f>IF(C440="","",MAX(0,TODAY()-C440))</x:f>
      </x:c>
      <x:c r="P440" s="22" t="str">
        <x:f>IF(OR(G440="",J440=""),"",G440*J440)</x:f>
      </x:c>
      <x:c r="Q440" s="20"/>
      <x:c r="R440" s="20"/>
      <x:c r="S440" s="20"/>
      <x:c r="T440" s="22" t="str">
        <x:f>IF(K440="","",IFERROR(VLOOKUP(K440,Listas!$G$2:$J$8,4,FALSE),0))</x:f>
      </x:c>
      <x:c r="U440" s="23" t="n">
        <x:f>IFERROR(H440/T440,0)</x:f>
        <x:v>0</x:v>
      </x:c>
      <x:c r="V440" s="20"/>
    </x:row>
    <x:row r="441">
      <x:c r="A441" s="20"/>
      <x:c r="B441" s="20"/>
      <x:c r="C441" s="21"/>
      <x:c r="D441" s="20"/>
      <x:c r="E441" s="20"/>
      <x:c r="F441" s="20"/>
      <x:c r="G441" s="22"/>
      <x:c r="H441" s="22"/>
      <x:c r="I441" s="22"/>
      <x:c r="J441" s="23"/>
      <x:c r="K441" s="20"/>
      <x:c r="L441" s="20"/>
      <x:c r="M441" s="21"/>
      <x:c r="N441" s="20"/>
      <x:c r="O441" s="24" t="str">
        <x:f>IF(C441="","",MAX(0,TODAY()-C441))</x:f>
      </x:c>
      <x:c r="P441" s="22" t="str">
        <x:f>IF(OR(G441="",J441=""),"",G441*J441)</x:f>
      </x:c>
      <x:c r="Q441" s="20"/>
      <x:c r="R441" s="20"/>
      <x:c r="S441" s="20"/>
      <x:c r="T441" s="22" t="str">
        <x:f>IF(K441="","",IFERROR(VLOOKUP(K441,Listas!$G$2:$J$8,4,FALSE),0))</x:f>
      </x:c>
      <x:c r="U441" s="23" t="n">
        <x:f>IFERROR(H441/T441,0)</x:f>
        <x:v>0</x:v>
      </x:c>
      <x:c r="V441" s="20"/>
    </x:row>
    <x:row r="442">
      <x:c r="A442" s="20"/>
      <x:c r="B442" s="20"/>
      <x:c r="C442" s="21"/>
      <x:c r="D442" s="20"/>
      <x:c r="E442" s="20"/>
      <x:c r="F442" s="20"/>
      <x:c r="G442" s="22"/>
      <x:c r="H442" s="22"/>
      <x:c r="I442" s="22"/>
      <x:c r="J442" s="23"/>
      <x:c r="K442" s="20"/>
      <x:c r="L442" s="20"/>
      <x:c r="M442" s="21"/>
      <x:c r="N442" s="20"/>
      <x:c r="O442" s="24" t="str">
        <x:f>IF(C442="","",MAX(0,TODAY()-C442))</x:f>
      </x:c>
      <x:c r="P442" s="22" t="str">
        <x:f>IF(OR(G442="",J442=""),"",G442*J442)</x:f>
      </x:c>
      <x:c r="Q442" s="20"/>
      <x:c r="R442" s="20"/>
      <x:c r="S442" s="20"/>
      <x:c r="T442" s="22" t="str">
        <x:f>IF(K442="","",IFERROR(VLOOKUP(K442,Listas!$G$2:$J$8,4,FALSE),0))</x:f>
      </x:c>
      <x:c r="U442" s="23" t="n">
        <x:f>IFERROR(H442/T442,0)</x:f>
        <x:v>0</x:v>
      </x:c>
      <x:c r="V442" s="20"/>
    </x:row>
    <x:row r="443">
      <x:c r="A443" s="20"/>
      <x:c r="B443" s="20"/>
      <x:c r="C443" s="21"/>
      <x:c r="D443" s="20"/>
      <x:c r="E443" s="20"/>
      <x:c r="F443" s="20"/>
      <x:c r="G443" s="22"/>
      <x:c r="H443" s="22"/>
      <x:c r="I443" s="22"/>
      <x:c r="J443" s="23"/>
      <x:c r="K443" s="20"/>
      <x:c r="L443" s="20"/>
      <x:c r="M443" s="21"/>
      <x:c r="N443" s="20"/>
      <x:c r="O443" s="24" t="str">
        <x:f>IF(C443="","",MAX(0,TODAY()-C443))</x:f>
      </x:c>
      <x:c r="P443" s="22" t="str">
        <x:f>IF(OR(G443="",J443=""),"",G443*J443)</x:f>
      </x:c>
      <x:c r="Q443" s="20"/>
      <x:c r="R443" s="20"/>
      <x:c r="S443" s="20"/>
      <x:c r="T443" s="22" t="str">
        <x:f>IF(K443="","",IFERROR(VLOOKUP(K443,Listas!$G$2:$J$8,4,FALSE),0))</x:f>
      </x:c>
      <x:c r="U443" s="23" t="n">
        <x:f>IFERROR(H443/T443,0)</x:f>
        <x:v>0</x:v>
      </x:c>
      <x:c r="V443" s="20"/>
    </x:row>
    <x:row r="444">
      <x:c r="A444" s="20"/>
      <x:c r="B444" s="20"/>
      <x:c r="C444" s="21"/>
      <x:c r="D444" s="20"/>
      <x:c r="E444" s="20"/>
      <x:c r="F444" s="20"/>
      <x:c r="G444" s="22"/>
      <x:c r="H444" s="22"/>
      <x:c r="I444" s="22"/>
      <x:c r="J444" s="23"/>
      <x:c r="K444" s="20"/>
      <x:c r="L444" s="20"/>
      <x:c r="M444" s="21"/>
      <x:c r="N444" s="20"/>
      <x:c r="O444" s="24" t="str">
        <x:f>IF(C444="","",MAX(0,TODAY()-C444))</x:f>
      </x:c>
      <x:c r="P444" s="22" t="str">
        <x:f>IF(OR(G444="",J444=""),"",G444*J444)</x:f>
      </x:c>
      <x:c r="Q444" s="20"/>
      <x:c r="R444" s="20"/>
      <x:c r="S444" s="20"/>
      <x:c r="T444" s="22" t="str">
        <x:f>IF(K444="","",IFERROR(VLOOKUP(K444,Listas!$G$2:$J$8,4,FALSE),0))</x:f>
      </x:c>
      <x:c r="U444" s="23" t="n">
        <x:f>IFERROR(H444/T444,0)</x:f>
        <x:v>0</x:v>
      </x:c>
      <x:c r="V444" s="20"/>
    </x:row>
    <x:row r="445">
      <x:c r="A445" s="20"/>
      <x:c r="B445" s="20"/>
      <x:c r="C445" s="21"/>
      <x:c r="D445" s="20"/>
      <x:c r="E445" s="20"/>
      <x:c r="F445" s="20"/>
      <x:c r="G445" s="22"/>
      <x:c r="H445" s="22"/>
      <x:c r="I445" s="22"/>
      <x:c r="J445" s="23"/>
      <x:c r="K445" s="20"/>
      <x:c r="L445" s="20"/>
      <x:c r="M445" s="21"/>
      <x:c r="N445" s="20"/>
      <x:c r="O445" s="24" t="str">
        <x:f>IF(C445="","",MAX(0,TODAY()-C445))</x:f>
      </x:c>
      <x:c r="P445" s="22" t="str">
        <x:f>IF(OR(G445="",J445=""),"",G445*J445)</x:f>
      </x:c>
      <x:c r="Q445" s="20"/>
      <x:c r="R445" s="20"/>
      <x:c r="S445" s="20"/>
      <x:c r="T445" s="22" t="str">
        <x:f>IF(K445="","",IFERROR(VLOOKUP(K445,Listas!$G$2:$J$8,4,FALSE),0))</x:f>
      </x:c>
      <x:c r="U445" s="23" t="n">
        <x:f>IFERROR(H445/T445,0)</x:f>
        <x:v>0</x:v>
      </x:c>
      <x:c r="V445" s="20"/>
    </x:row>
    <x:row r="446">
      <x:c r="A446" s="20"/>
      <x:c r="B446" s="20"/>
      <x:c r="C446" s="21"/>
      <x:c r="D446" s="20"/>
      <x:c r="E446" s="20"/>
      <x:c r="F446" s="20"/>
      <x:c r="G446" s="22"/>
      <x:c r="H446" s="22"/>
      <x:c r="I446" s="22"/>
      <x:c r="J446" s="23"/>
      <x:c r="K446" s="20"/>
      <x:c r="L446" s="20"/>
      <x:c r="M446" s="21"/>
      <x:c r="N446" s="20"/>
      <x:c r="O446" s="24" t="str">
        <x:f>IF(C446="","",MAX(0,TODAY()-C446))</x:f>
      </x:c>
      <x:c r="P446" s="22" t="str">
        <x:f>IF(OR(G446="",J446=""),"",G446*J446)</x:f>
      </x:c>
      <x:c r="Q446" s="20"/>
      <x:c r="R446" s="20"/>
      <x:c r="S446" s="20"/>
      <x:c r="T446" s="22" t="str">
        <x:f>IF(K446="","",IFERROR(VLOOKUP(K446,Listas!$G$2:$J$8,4,FALSE),0))</x:f>
      </x:c>
      <x:c r="U446" s="23" t="n">
        <x:f>IFERROR(H446/T446,0)</x:f>
        <x:v>0</x:v>
      </x:c>
      <x:c r="V446" s="20"/>
    </x:row>
    <x:row r="447">
      <x:c r="A447" s="20"/>
      <x:c r="B447" s="20"/>
      <x:c r="C447" s="21"/>
      <x:c r="D447" s="20"/>
      <x:c r="E447" s="20"/>
      <x:c r="F447" s="20"/>
      <x:c r="G447" s="22"/>
      <x:c r="H447" s="22"/>
      <x:c r="I447" s="22"/>
      <x:c r="J447" s="23"/>
      <x:c r="K447" s="20"/>
      <x:c r="L447" s="20"/>
      <x:c r="M447" s="21"/>
      <x:c r="N447" s="20"/>
      <x:c r="O447" s="24" t="str">
        <x:f>IF(C447="","",MAX(0,TODAY()-C447))</x:f>
      </x:c>
      <x:c r="P447" s="22" t="str">
        <x:f>IF(OR(G447="",J447=""),"",G447*J447)</x:f>
      </x:c>
      <x:c r="Q447" s="20"/>
      <x:c r="R447" s="20"/>
      <x:c r="S447" s="20"/>
      <x:c r="T447" s="22" t="str">
        <x:f>IF(K447="","",IFERROR(VLOOKUP(K447,Listas!$G$2:$J$8,4,FALSE),0))</x:f>
      </x:c>
      <x:c r="U447" s="23" t="n">
        <x:f>IFERROR(H447/T447,0)</x:f>
        <x:v>0</x:v>
      </x:c>
      <x:c r="V447" s="20"/>
    </x:row>
    <x:row r="448">
      <x:c r="A448" s="20"/>
      <x:c r="B448" s="20"/>
      <x:c r="C448" s="21"/>
      <x:c r="D448" s="20"/>
      <x:c r="E448" s="20"/>
      <x:c r="F448" s="20"/>
      <x:c r="G448" s="22"/>
      <x:c r="H448" s="22"/>
      <x:c r="I448" s="22"/>
      <x:c r="J448" s="23"/>
      <x:c r="K448" s="20"/>
      <x:c r="L448" s="20"/>
      <x:c r="M448" s="21"/>
      <x:c r="N448" s="20"/>
      <x:c r="O448" s="24" t="str">
        <x:f>IF(C448="","",MAX(0,TODAY()-C448))</x:f>
      </x:c>
      <x:c r="P448" s="22" t="str">
        <x:f>IF(OR(G448="",J448=""),"",G448*J448)</x:f>
      </x:c>
      <x:c r="Q448" s="20"/>
      <x:c r="R448" s="20"/>
      <x:c r="S448" s="20"/>
      <x:c r="T448" s="22" t="str">
        <x:f>IF(K448="","",IFERROR(VLOOKUP(K448,Listas!$G$2:$J$8,4,FALSE),0))</x:f>
      </x:c>
      <x:c r="U448" s="23" t="n">
        <x:f>IFERROR(H448/T448,0)</x:f>
        <x:v>0</x:v>
      </x:c>
      <x:c r="V448" s="20"/>
    </x:row>
    <x:row r="449">
      <x:c r="A449" s="20"/>
      <x:c r="B449" s="20"/>
      <x:c r="C449" s="21"/>
      <x:c r="D449" s="20"/>
      <x:c r="E449" s="20"/>
      <x:c r="F449" s="20"/>
      <x:c r="G449" s="22"/>
      <x:c r="H449" s="22"/>
      <x:c r="I449" s="22"/>
      <x:c r="J449" s="23"/>
      <x:c r="K449" s="20"/>
      <x:c r="L449" s="20"/>
      <x:c r="M449" s="21"/>
      <x:c r="N449" s="20"/>
      <x:c r="O449" s="24" t="str">
        <x:f>IF(C449="","",MAX(0,TODAY()-C449))</x:f>
      </x:c>
      <x:c r="P449" s="22" t="str">
        <x:f>IF(OR(G449="",J449=""),"",G449*J449)</x:f>
      </x:c>
      <x:c r="Q449" s="20"/>
      <x:c r="R449" s="20"/>
      <x:c r="S449" s="20"/>
      <x:c r="T449" s="22" t="str">
        <x:f>IF(K449="","",IFERROR(VLOOKUP(K449,Listas!$G$2:$J$8,4,FALSE),0))</x:f>
      </x:c>
      <x:c r="U449" s="23" t="n">
        <x:f>IFERROR(H449/T449,0)</x:f>
        <x:v>0</x:v>
      </x:c>
      <x:c r="V449" s="20"/>
    </x:row>
    <x:row r="450">
      <x:c r="A450" s="20"/>
      <x:c r="B450" s="20"/>
      <x:c r="C450" s="21"/>
      <x:c r="D450" s="20"/>
      <x:c r="E450" s="20"/>
      <x:c r="F450" s="20"/>
      <x:c r="G450" s="22"/>
      <x:c r="H450" s="22"/>
      <x:c r="I450" s="22"/>
      <x:c r="J450" s="23"/>
      <x:c r="K450" s="20"/>
      <x:c r="L450" s="20"/>
      <x:c r="M450" s="21"/>
      <x:c r="N450" s="20"/>
      <x:c r="O450" s="24" t="str">
        <x:f>IF(C450="","",MAX(0,TODAY()-C450))</x:f>
      </x:c>
      <x:c r="P450" s="22" t="str">
        <x:f>IF(OR(G450="",J450=""),"",G450*J450)</x:f>
      </x:c>
      <x:c r="Q450" s="20"/>
      <x:c r="R450" s="20"/>
      <x:c r="S450" s="20"/>
      <x:c r="T450" s="22" t="str">
        <x:f>IF(K450="","",IFERROR(VLOOKUP(K450,Listas!$G$2:$J$8,4,FALSE),0))</x:f>
      </x:c>
      <x:c r="U450" s="23" t="n">
        <x:f>IFERROR(H450/T450,0)</x:f>
        <x:v>0</x:v>
      </x:c>
      <x:c r="V450" s="20"/>
    </x:row>
    <x:row r="451">
      <x:c r="A451" s="20"/>
      <x:c r="B451" s="20"/>
      <x:c r="C451" s="21"/>
      <x:c r="D451" s="20"/>
      <x:c r="E451" s="20"/>
      <x:c r="F451" s="20"/>
      <x:c r="G451" s="22"/>
      <x:c r="H451" s="22"/>
      <x:c r="I451" s="22"/>
      <x:c r="J451" s="23"/>
      <x:c r="K451" s="20"/>
      <x:c r="L451" s="20"/>
      <x:c r="M451" s="21"/>
      <x:c r="N451" s="20"/>
      <x:c r="O451" s="24" t="str">
        <x:f>IF(C451="","",MAX(0,TODAY()-C451))</x:f>
      </x:c>
      <x:c r="P451" s="22" t="str">
        <x:f>IF(OR(G451="",J451=""),"",G451*J451)</x:f>
      </x:c>
      <x:c r="Q451" s="20"/>
      <x:c r="R451" s="20"/>
      <x:c r="S451" s="20"/>
      <x:c r="T451" s="22" t="str">
        <x:f>IF(K451="","",IFERROR(VLOOKUP(K451,Listas!$G$2:$J$8,4,FALSE),0))</x:f>
      </x:c>
      <x:c r="U451" s="23" t="n">
        <x:f>IFERROR(H451/T451,0)</x:f>
        <x:v>0</x:v>
      </x:c>
      <x:c r="V451" s="20"/>
    </x:row>
    <x:row r="452">
      <x:c r="A452" s="20"/>
      <x:c r="B452" s="20"/>
      <x:c r="C452" s="21"/>
      <x:c r="D452" s="20"/>
      <x:c r="E452" s="20"/>
      <x:c r="F452" s="20"/>
      <x:c r="G452" s="22"/>
      <x:c r="H452" s="22"/>
      <x:c r="I452" s="22"/>
      <x:c r="J452" s="23"/>
      <x:c r="K452" s="20"/>
      <x:c r="L452" s="20"/>
      <x:c r="M452" s="21"/>
      <x:c r="N452" s="20"/>
      <x:c r="O452" s="24" t="str">
        <x:f>IF(C452="","",MAX(0,TODAY()-C452))</x:f>
      </x:c>
      <x:c r="P452" s="22" t="str">
        <x:f>IF(OR(G452="",J452=""),"",G452*J452)</x:f>
      </x:c>
      <x:c r="Q452" s="20"/>
      <x:c r="R452" s="20"/>
      <x:c r="S452" s="20"/>
      <x:c r="T452" s="22" t="str">
        <x:f>IF(K452="","",IFERROR(VLOOKUP(K452,Listas!$G$2:$J$8,4,FALSE),0))</x:f>
      </x:c>
      <x:c r="U452" s="23" t="n">
        <x:f>IFERROR(H452/T452,0)</x:f>
        <x:v>0</x:v>
      </x:c>
      <x:c r="V452" s="20"/>
    </x:row>
    <x:row r="453">
      <x:c r="A453" s="20"/>
      <x:c r="B453" s="20"/>
      <x:c r="C453" s="21"/>
      <x:c r="D453" s="20"/>
      <x:c r="E453" s="20"/>
      <x:c r="F453" s="20"/>
      <x:c r="G453" s="22"/>
      <x:c r="H453" s="22"/>
      <x:c r="I453" s="22"/>
      <x:c r="J453" s="23"/>
      <x:c r="K453" s="20"/>
      <x:c r="L453" s="20"/>
      <x:c r="M453" s="21"/>
      <x:c r="N453" s="20"/>
      <x:c r="O453" s="24" t="str">
        <x:f>IF(C453="","",MAX(0,TODAY()-C453))</x:f>
      </x:c>
      <x:c r="P453" s="22" t="str">
        <x:f>IF(OR(G453="",J453=""),"",G453*J453)</x:f>
      </x:c>
      <x:c r="Q453" s="20"/>
      <x:c r="R453" s="20"/>
      <x:c r="S453" s="20"/>
      <x:c r="T453" s="22" t="str">
        <x:f>IF(K453="","",IFERROR(VLOOKUP(K453,Listas!$G$2:$J$8,4,FALSE),0))</x:f>
      </x:c>
      <x:c r="U453" s="23" t="n">
        <x:f>IFERROR(H453/T453,0)</x:f>
        <x:v>0</x:v>
      </x:c>
      <x:c r="V453" s="20"/>
    </x:row>
    <x:row r="454">
      <x:c r="A454" s="20"/>
      <x:c r="B454" s="20"/>
      <x:c r="C454" s="21"/>
      <x:c r="D454" s="20"/>
      <x:c r="E454" s="20"/>
      <x:c r="F454" s="20"/>
      <x:c r="G454" s="22"/>
      <x:c r="H454" s="22"/>
      <x:c r="I454" s="22"/>
      <x:c r="J454" s="23"/>
      <x:c r="K454" s="20"/>
      <x:c r="L454" s="20"/>
      <x:c r="M454" s="21"/>
      <x:c r="N454" s="20"/>
      <x:c r="O454" s="24" t="str">
        <x:f>IF(C454="","",MAX(0,TODAY()-C454))</x:f>
      </x:c>
      <x:c r="P454" s="22" t="str">
        <x:f>IF(OR(G454="",J454=""),"",G454*J454)</x:f>
      </x:c>
      <x:c r="Q454" s="20"/>
      <x:c r="R454" s="20"/>
      <x:c r="S454" s="20"/>
      <x:c r="T454" s="22" t="str">
        <x:f>IF(K454="","",IFERROR(VLOOKUP(K454,Listas!$G$2:$J$8,4,FALSE),0))</x:f>
      </x:c>
      <x:c r="U454" s="23" t="n">
        <x:f>IFERROR(H454/T454,0)</x:f>
        <x:v>0</x:v>
      </x:c>
      <x:c r="V454" s="20"/>
    </x:row>
    <x:row r="455">
      <x:c r="A455" s="20"/>
      <x:c r="B455" s="20"/>
      <x:c r="C455" s="21"/>
      <x:c r="D455" s="20"/>
      <x:c r="E455" s="20"/>
      <x:c r="F455" s="20"/>
      <x:c r="G455" s="22"/>
      <x:c r="H455" s="22"/>
      <x:c r="I455" s="22"/>
      <x:c r="J455" s="23"/>
      <x:c r="K455" s="20"/>
      <x:c r="L455" s="20"/>
      <x:c r="M455" s="21"/>
      <x:c r="N455" s="20"/>
      <x:c r="O455" s="24" t="str">
        <x:f>IF(C455="","",MAX(0,TODAY()-C455))</x:f>
      </x:c>
      <x:c r="P455" s="22" t="str">
        <x:f>IF(OR(G455="",J455=""),"",G455*J455)</x:f>
      </x:c>
      <x:c r="Q455" s="20"/>
      <x:c r="R455" s="20"/>
      <x:c r="S455" s="20"/>
      <x:c r="T455" s="22" t="str">
        <x:f>IF(K455="","",IFERROR(VLOOKUP(K455,Listas!$G$2:$J$8,4,FALSE),0))</x:f>
      </x:c>
      <x:c r="U455" s="23" t="n">
        <x:f>IFERROR(H455/T455,0)</x:f>
        <x:v>0</x:v>
      </x:c>
      <x:c r="V455" s="20"/>
    </x:row>
    <x:row r="456">
      <x:c r="A456" s="20"/>
      <x:c r="B456" s="20"/>
      <x:c r="C456" s="21"/>
      <x:c r="D456" s="20"/>
      <x:c r="E456" s="20"/>
      <x:c r="F456" s="20"/>
      <x:c r="G456" s="22"/>
      <x:c r="H456" s="22"/>
      <x:c r="I456" s="22"/>
      <x:c r="J456" s="23"/>
      <x:c r="K456" s="20"/>
      <x:c r="L456" s="20"/>
      <x:c r="M456" s="21"/>
      <x:c r="N456" s="20"/>
      <x:c r="O456" s="24" t="str">
        <x:f>IF(C456="","",MAX(0,TODAY()-C456))</x:f>
      </x:c>
      <x:c r="P456" s="22" t="str">
        <x:f>IF(OR(G456="",J456=""),"",G456*J456)</x:f>
      </x:c>
      <x:c r="Q456" s="20"/>
      <x:c r="R456" s="20"/>
      <x:c r="S456" s="20"/>
      <x:c r="T456" s="22" t="str">
        <x:f>IF(K456="","",IFERROR(VLOOKUP(K456,Listas!$G$2:$J$8,4,FALSE),0))</x:f>
      </x:c>
      <x:c r="U456" s="23" t="n">
        <x:f>IFERROR(H456/T456,0)</x:f>
        <x:v>0</x:v>
      </x:c>
      <x:c r="V456" s="20"/>
    </x:row>
    <x:row r="457">
      <x:c r="A457" s="20"/>
      <x:c r="B457" s="20"/>
      <x:c r="C457" s="21"/>
      <x:c r="D457" s="20"/>
      <x:c r="E457" s="20"/>
      <x:c r="F457" s="20"/>
      <x:c r="G457" s="22"/>
      <x:c r="H457" s="22"/>
      <x:c r="I457" s="22"/>
      <x:c r="J457" s="23"/>
      <x:c r="K457" s="20"/>
      <x:c r="L457" s="20"/>
      <x:c r="M457" s="21"/>
      <x:c r="N457" s="20"/>
      <x:c r="O457" s="24" t="str">
        <x:f>IF(C457="","",MAX(0,TODAY()-C457))</x:f>
      </x:c>
      <x:c r="P457" s="22" t="str">
        <x:f>IF(OR(G457="",J457=""),"",G457*J457)</x:f>
      </x:c>
      <x:c r="Q457" s="20"/>
      <x:c r="R457" s="20"/>
      <x:c r="S457" s="20"/>
      <x:c r="T457" s="22" t="str">
        <x:f>IF(K457="","",IFERROR(VLOOKUP(K457,Listas!$G$2:$J$8,4,FALSE),0))</x:f>
      </x:c>
      <x:c r="U457" s="23" t="n">
        <x:f>IFERROR(H457/T457,0)</x:f>
        <x:v>0</x:v>
      </x:c>
      <x:c r="V457" s="20"/>
    </x:row>
    <x:row r="458">
      <x:c r="A458" s="20"/>
      <x:c r="B458" s="20"/>
      <x:c r="C458" s="21"/>
      <x:c r="D458" s="20"/>
      <x:c r="E458" s="20"/>
      <x:c r="F458" s="20"/>
      <x:c r="G458" s="22"/>
      <x:c r="H458" s="22"/>
      <x:c r="I458" s="22"/>
      <x:c r="J458" s="23"/>
      <x:c r="K458" s="20"/>
      <x:c r="L458" s="20"/>
      <x:c r="M458" s="21"/>
      <x:c r="N458" s="20"/>
      <x:c r="O458" s="24" t="str">
        <x:f>IF(C458="","",MAX(0,TODAY()-C458))</x:f>
      </x:c>
      <x:c r="P458" s="22" t="str">
        <x:f>IF(OR(G458="",J458=""),"",G458*J458)</x:f>
      </x:c>
      <x:c r="Q458" s="20"/>
      <x:c r="R458" s="20"/>
      <x:c r="S458" s="20"/>
      <x:c r="T458" s="22" t="str">
        <x:f>IF(K458="","",IFERROR(VLOOKUP(K458,Listas!$G$2:$J$8,4,FALSE),0))</x:f>
      </x:c>
      <x:c r="U458" s="23" t="n">
        <x:f>IFERROR(H458/T458,0)</x:f>
        <x:v>0</x:v>
      </x:c>
      <x:c r="V458" s="20"/>
    </x:row>
    <x:row r="459">
      <x:c r="A459" s="20"/>
      <x:c r="B459" s="20"/>
      <x:c r="C459" s="21"/>
      <x:c r="D459" s="20"/>
      <x:c r="E459" s="20"/>
      <x:c r="F459" s="20"/>
      <x:c r="G459" s="22"/>
      <x:c r="H459" s="22"/>
      <x:c r="I459" s="22"/>
      <x:c r="J459" s="23"/>
      <x:c r="K459" s="20"/>
      <x:c r="L459" s="20"/>
      <x:c r="M459" s="21"/>
      <x:c r="N459" s="20"/>
      <x:c r="O459" s="24" t="str">
        <x:f>IF(C459="","",MAX(0,TODAY()-C459))</x:f>
      </x:c>
      <x:c r="P459" s="22" t="str">
        <x:f>IF(OR(G459="",J459=""),"",G459*J459)</x:f>
      </x:c>
      <x:c r="Q459" s="20"/>
      <x:c r="R459" s="20"/>
      <x:c r="S459" s="20"/>
      <x:c r="T459" s="22" t="str">
        <x:f>IF(K459="","",IFERROR(VLOOKUP(K459,Listas!$G$2:$J$8,4,FALSE),0))</x:f>
      </x:c>
      <x:c r="U459" s="23" t="n">
        <x:f>IFERROR(H459/T459,0)</x:f>
        <x:v>0</x:v>
      </x:c>
      <x:c r="V459" s="20"/>
    </x:row>
    <x:row r="460">
      <x:c r="A460" s="20"/>
      <x:c r="B460" s="20"/>
      <x:c r="C460" s="21"/>
      <x:c r="D460" s="20"/>
      <x:c r="E460" s="20"/>
      <x:c r="F460" s="20"/>
      <x:c r="G460" s="22"/>
      <x:c r="H460" s="22"/>
      <x:c r="I460" s="22"/>
      <x:c r="J460" s="23"/>
      <x:c r="K460" s="20"/>
      <x:c r="L460" s="20"/>
      <x:c r="M460" s="21"/>
      <x:c r="N460" s="20"/>
      <x:c r="O460" s="24" t="str">
        <x:f>IF(C460="","",MAX(0,TODAY()-C460))</x:f>
      </x:c>
      <x:c r="P460" s="22" t="str">
        <x:f>IF(OR(G460="",J460=""),"",G460*J460)</x:f>
      </x:c>
      <x:c r="Q460" s="20"/>
      <x:c r="R460" s="20"/>
      <x:c r="S460" s="20"/>
      <x:c r="T460" s="22" t="str">
        <x:f>IF(K460="","",IFERROR(VLOOKUP(K460,Listas!$G$2:$J$8,4,FALSE),0))</x:f>
      </x:c>
      <x:c r="U460" s="23" t="n">
        <x:f>IFERROR(H460/T460,0)</x:f>
        <x:v>0</x:v>
      </x:c>
      <x:c r="V460" s="20"/>
    </x:row>
    <x:row r="461">
      <x:c r="A461" s="20"/>
      <x:c r="B461" s="20"/>
      <x:c r="C461" s="21"/>
      <x:c r="D461" s="20"/>
      <x:c r="E461" s="20"/>
      <x:c r="F461" s="20"/>
      <x:c r="G461" s="22"/>
      <x:c r="H461" s="22"/>
      <x:c r="I461" s="22"/>
      <x:c r="J461" s="23"/>
      <x:c r="K461" s="20"/>
      <x:c r="L461" s="20"/>
      <x:c r="M461" s="21"/>
      <x:c r="N461" s="20"/>
      <x:c r="O461" s="24" t="str">
        <x:f>IF(C461="","",MAX(0,TODAY()-C461))</x:f>
      </x:c>
      <x:c r="P461" s="22" t="str">
        <x:f>IF(OR(G461="",J461=""),"",G461*J461)</x:f>
      </x:c>
      <x:c r="Q461" s="20"/>
      <x:c r="R461" s="20"/>
      <x:c r="S461" s="20"/>
      <x:c r="T461" s="22" t="str">
        <x:f>IF(K461="","",IFERROR(VLOOKUP(K461,Listas!$G$2:$J$8,4,FALSE),0))</x:f>
      </x:c>
      <x:c r="U461" s="23" t="n">
        <x:f>IFERROR(H461/T461,0)</x:f>
        <x:v>0</x:v>
      </x:c>
      <x:c r="V461" s="20"/>
    </x:row>
    <x:row r="462">
      <x:c r="A462" s="20"/>
      <x:c r="B462" s="20"/>
      <x:c r="C462" s="21"/>
      <x:c r="D462" s="20"/>
      <x:c r="E462" s="20"/>
      <x:c r="F462" s="20"/>
      <x:c r="G462" s="22"/>
      <x:c r="H462" s="22"/>
      <x:c r="I462" s="22"/>
      <x:c r="J462" s="23"/>
      <x:c r="K462" s="20"/>
      <x:c r="L462" s="20"/>
      <x:c r="M462" s="21"/>
      <x:c r="N462" s="20"/>
      <x:c r="O462" s="24" t="str">
        <x:f>IF(C462="","",MAX(0,TODAY()-C462))</x:f>
      </x:c>
      <x:c r="P462" s="22" t="str">
        <x:f>IF(OR(G462="",J462=""),"",G462*J462)</x:f>
      </x:c>
      <x:c r="Q462" s="20"/>
      <x:c r="R462" s="20"/>
      <x:c r="S462" s="20"/>
      <x:c r="T462" s="22" t="str">
        <x:f>IF(K462="","",IFERROR(VLOOKUP(K462,Listas!$G$2:$J$8,4,FALSE),0))</x:f>
      </x:c>
      <x:c r="U462" s="23" t="n">
        <x:f>IFERROR(H462/T462,0)</x:f>
        <x:v>0</x:v>
      </x:c>
      <x:c r="V462" s="20"/>
    </x:row>
    <x:row r="463">
      <x:c r="A463" s="20"/>
      <x:c r="B463" s="20"/>
      <x:c r="C463" s="21"/>
      <x:c r="D463" s="20"/>
      <x:c r="E463" s="20"/>
      <x:c r="F463" s="20"/>
      <x:c r="G463" s="22"/>
      <x:c r="H463" s="22"/>
      <x:c r="I463" s="22"/>
      <x:c r="J463" s="23"/>
      <x:c r="K463" s="20"/>
      <x:c r="L463" s="20"/>
      <x:c r="M463" s="21"/>
      <x:c r="N463" s="20"/>
      <x:c r="O463" s="24" t="str">
        <x:f>IF(C463="","",MAX(0,TODAY()-C463))</x:f>
      </x:c>
      <x:c r="P463" s="22" t="str">
        <x:f>IF(OR(G463="",J463=""),"",G463*J463)</x:f>
      </x:c>
      <x:c r="Q463" s="20"/>
      <x:c r="R463" s="20"/>
      <x:c r="S463" s="20"/>
      <x:c r="T463" s="22" t="str">
        <x:f>IF(K463="","",IFERROR(VLOOKUP(K463,Listas!$G$2:$J$8,4,FALSE),0))</x:f>
      </x:c>
      <x:c r="U463" s="23" t="n">
        <x:f>IFERROR(H463/T463,0)</x:f>
        <x:v>0</x:v>
      </x:c>
      <x:c r="V463" s="20"/>
    </x:row>
    <x:row r="464">
      <x:c r="A464" s="20"/>
      <x:c r="B464" s="20"/>
      <x:c r="C464" s="21"/>
      <x:c r="D464" s="20"/>
      <x:c r="E464" s="20"/>
      <x:c r="F464" s="20"/>
      <x:c r="G464" s="22"/>
      <x:c r="H464" s="22"/>
      <x:c r="I464" s="22"/>
      <x:c r="J464" s="23"/>
      <x:c r="K464" s="20"/>
      <x:c r="L464" s="20"/>
      <x:c r="M464" s="21"/>
      <x:c r="N464" s="20"/>
      <x:c r="O464" s="24" t="str">
        <x:f>IF(C464="","",MAX(0,TODAY()-C464))</x:f>
      </x:c>
      <x:c r="P464" s="22" t="str">
        <x:f>IF(OR(G464="",J464=""),"",G464*J464)</x:f>
      </x:c>
      <x:c r="Q464" s="20"/>
      <x:c r="R464" s="20"/>
      <x:c r="S464" s="20"/>
      <x:c r="T464" s="22" t="str">
        <x:f>IF(K464="","",IFERROR(VLOOKUP(K464,Listas!$G$2:$J$8,4,FALSE),0))</x:f>
      </x:c>
      <x:c r="U464" s="23" t="n">
        <x:f>IFERROR(H464/T464,0)</x:f>
        <x:v>0</x:v>
      </x:c>
      <x:c r="V464" s="20"/>
    </x:row>
    <x:row r="465">
      <x:c r="A465" s="20"/>
      <x:c r="B465" s="20"/>
      <x:c r="C465" s="21"/>
      <x:c r="D465" s="20"/>
      <x:c r="E465" s="20"/>
      <x:c r="F465" s="20"/>
      <x:c r="G465" s="22"/>
      <x:c r="H465" s="22"/>
      <x:c r="I465" s="22"/>
      <x:c r="J465" s="23"/>
      <x:c r="K465" s="20"/>
      <x:c r="L465" s="20"/>
      <x:c r="M465" s="21"/>
      <x:c r="N465" s="20"/>
      <x:c r="O465" s="24" t="str">
        <x:f>IF(C465="","",MAX(0,TODAY()-C465))</x:f>
      </x:c>
      <x:c r="P465" s="22" t="str">
        <x:f>IF(OR(G465="",J465=""),"",G465*J465)</x:f>
      </x:c>
      <x:c r="Q465" s="20"/>
      <x:c r="R465" s="20"/>
      <x:c r="S465" s="20"/>
      <x:c r="T465" s="22" t="str">
        <x:f>IF(K465="","",IFERROR(VLOOKUP(K465,Listas!$G$2:$J$8,4,FALSE),0))</x:f>
      </x:c>
      <x:c r="U465" s="23" t="n">
        <x:f>IFERROR(H465/T465,0)</x:f>
        <x:v>0</x:v>
      </x:c>
      <x:c r="V465" s="20"/>
    </x:row>
    <x:row r="466">
      <x:c r="A466" s="20"/>
      <x:c r="B466" s="20"/>
      <x:c r="C466" s="21"/>
      <x:c r="D466" s="20"/>
      <x:c r="E466" s="20"/>
      <x:c r="F466" s="20"/>
      <x:c r="G466" s="22"/>
      <x:c r="H466" s="22"/>
      <x:c r="I466" s="22"/>
      <x:c r="J466" s="23"/>
      <x:c r="K466" s="20"/>
      <x:c r="L466" s="20"/>
      <x:c r="M466" s="21"/>
      <x:c r="N466" s="20"/>
      <x:c r="O466" s="24" t="str">
        <x:f>IF(C466="","",MAX(0,TODAY()-C466))</x:f>
      </x:c>
      <x:c r="P466" s="22" t="str">
        <x:f>IF(OR(G466="",J466=""),"",G466*J466)</x:f>
      </x:c>
      <x:c r="Q466" s="20"/>
      <x:c r="R466" s="20"/>
      <x:c r="S466" s="20"/>
      <x:c r="T466" s="22" t="str">
        <x:f>IF(K466="","",IFERROR(VLOOKUP(K466,Listas!$G$2:$J$8,4,FALSE),0))</x:f>
      </x:c>
      <x:c r="U466" s="23" t="n">
        <x:f>IFERROR(H466/T466,0)</x:f>
        <x:v>0</x:v>
      </x:c>
      <x:c r="V466" s="20"/>
    </x:row>
    <x:row r="467">
      <x:c r="A467" s="20"/>
      <x:c r="B467" s="20"/>
      <x:c r="C467" s="21"/>
      <x:c r="D467" s="20"/>
      <x:c r="E467" s="20"/>
      <x:c r="F467" s="20"/>
      <x:c r="G467" s="22"/>
      <x:c r="H467" s="22"/>
      <x:c r="I467" s="22"/>
      <x:c r="J467" s="23"/>
      <x:c r="K467" s="20"/>
      <x:c r="L467" s="20"/>
      <x:c r="M467" s="21"/>
      <x:c r="N467" s="20"/>
      <x:c r="O467" s="24" t="str">
        <x:f>IF(C467="","",MAX(0,TODAY()-C467))</x:f>
      </x:c>
      <x:c r="P467" s="22" t="str">
        <x:f>IF(OR(G467="",J467=""),"",G467*J467)</x:f>
      </x:c>
      <x:c r="Q467" s="20"/>
      <x:c r="R467" s="20"/>
      <x:c r="S467" s="20"/>
      <x:c r="T467" s="22" t="str">
        <x:f>IF(K467="","",IFERROR(VLOOKUP(K467,Listas!$G$2:$J$8,4,FALSE),0))</x:f>
      </x:c>
      <x:c r="U467" s="23" t="n">
        <x:f>IFERROR(H467/T467,0)</x:f>
        <x:v>0</x:v>
      </x:c>
      <x:c r="V467" s="20"/>
    </x:row>
    <x:row r="468">
      <x:c r="A468" s="20"/>
      <x:c r="B468" s="20"/>
      <x:c r="C468" s="21"/>
      <x:c r="D468" s="20"/>
      <x:c r="E468" s="20"/>
      <x:c r="F468" s="20"/>
      <x:c r="G468" s="22"/>
      <x:c r="H468" s="22"/>
      <x:c r="I468" s="22"/>
      <x:c r="J468" s="23"/>
      <x:c r="K468" s="20"/>
      <x:c r="L468" s="20"/>
      <x:c r="M468" s="21"/>
      <x:c r="N468" s="20"/>
      <x:c r="O468" s="24" t="str">
        <x:f>IF(C468="","",MAX(0,TODAY()-C468))</x:f>
      </x:c>
      <x:c r="P468" s="22" t="str">
        <x:f>IF(OR(G468="",J468=""),"",G468*J468)</x:f>
      </x:c>
      <x:c r="Q468" s="20"/>
      <x:c r="R468" s="20"/>
      <x:c r="S468" s="20"/>
      <x:c r="T468" s="22" t="str">
        <x:f>IF(K468="","",IFERROR(VLOOKUP(K468,Listas!$G$2:$J$8,4,FALSE),0))</x:f>
      </x:c>
      <x:c r="U468" s="23" t="n">
        <x:f>IFERROR(H468/T468,0)</x:f>
        <x:v>0</x:v>
      </x:c>
      <x:c r="V468" s="20"/>
    </x:row>
    <x:row r="469">
      <x:c r="A469" s="20"/>
      <x:c r="B469" s="20"/>
      <x:c r="C469" s="21"/>
      <x:c r="D469" s="20"/>
      <x:c r="E469" s="20"/>
      <x:c r="F469" s="20"/>
      <x:c r="G469" s="22"/>
      <x:c r="H469" s="22"/>
      <x:c r="I469" s="22"/>
      <x:c r="J469" s="23"/>
      <x:c r="K469" s="20"/>
      <x:c r="L469" s="20"/>
      <x:c r="M469" s="21"/>
      <x:c r="N469" s="20"/>
      <x:c r="O469" s="24" t="str">
        <x:f>IF(C469="","",MAX(0,TODAY()-C469))</x:f>
      </x:c>
      <x:c r="P469" s="22" t="str">
        <x:f>IF(OR(G469="",J469=""),"",G469*J469)</x:f>
      </x:c>
      <x:c r="Q469" s="20"/>
      <x:c r="R469" s="20"/>
      <x:c r="S469" s="20"/>
      <x:c r="T469" s="22" t="str">
        <x:f>IF(K469="","",IFERROR(VLOOKUP(K469,Listas!$G$2:$J$8,4,FALSE),0))</x:f>
      </x:c>
      <x:c r="U469" s="23" t="n">
        <x:f>IFERROR(H469/T469,0)</x:f>
        <x:v>0</x:v>
      </x:c>
      <x:c r="V469" s="20"/>
    </x:row>
    <x:row r="470">
      <x:c r="A470" s="20"/>
      <x:c r="B470" s="20"/>
      <x:c r="C470" s="21"/>
      <x:c r="D470" s="20"/>
      <x:c r="E470" s="20"/>
      <x:c r="F470" s="20"/>
      <x:c r="G470" s="22"/>
      <x:c r="H470" s="22"/>
      <x:c r="I470" s="22"/>
      <x:c r="J470" s="23"/>
      <x:c r="K470" s="20"/>
      <x:c r="L470" s="20"/>
      <x:c r="M470" s="21"/>
      <x:c r="N470" s="20"/>
      <x:c r="O470" s="24" t="str">
        <x:f>IF(C470="","",MAX(0,TODAY()-C470))</x:f>
      </x:c>
      <x:c r="P470" s="22" t="str">
        <x:f>IF(OR(G470="",J470=""),"",G470*J470)</x:f>
      </x:c>
      <x:c r="Q470" s="20"/>
      <x:c r="R470" s="20"/>
      <x:c r="S470" s="20"/>
      <x:c r="T470" s="22" t="str">
        <x:f>IF(K470="","",IFERROR(VLOOKUP(K470,Listas!$G$2:$J$8,4,FALSE),0))</x:f>
      </x:c>
      <x:c r="U470" s="23" t="n">
        <x:f>IFERROR(H470/T470,0)</x:f>
        <x:v>0</x:v>
      </x:c>
      <x:c r="V470" s="20"/>
    </x:row>
    <x:row r="471">
      <x:c r="A471" s="20"/>
      <x:c r="B471" s="20"/>
      <x:c r="C471" s="21"/>
      <x:c r="D471" s="20"/>
      <x:c r="E471" s="20"/>
      <x:c r="F471" s="20"/>
      <x:c r="G471" s="22"/>
      <x:c r="H471" s="22"/>
      <x:c r="I471" s="22"/>
      <x:c r="J471" s="23"/>
      <x:c r="K471" s="20"/>
      <x:c r="L471" s="20"/>
      <x:c r="M471" s="21"/>
      <x:c r="N471" s="20"/>
      <x:c r="O471" s="24" t="str">
        <x:f>IF(C471="","",MAX(0,TODAY()-C471))</x:f>
      </x:c>
      <x:c r="P471" s="22" t="str">
        <x:f>IF(OR(G471="",J471=""),"",G471*J471)</x:f>
      </x:c>
      <x:c r="Q471" s="20"/>
      <x:c r="R471" s="20"/>
      <x:c r="S471" s="20"/>
      <x:c r="T471" s="22" t="str">
        <x:f>IF(K471="","",IFERROR(VLOOKUP(K471,Listas!$G$2:$J$8,4,FALSE),0))</x:f>
      </x:c>
      <x:c r="U471" s="23" t="n">
        <x:f>IFERROR(H471/T471,0)</x:f>
        <x:v>0</x:v>
      </x:c>
      <x:c r="V471" s="20"/>
    </x:row>
    <x:row r="472">
      <x:c r="A472" s="20"/>
      <x:c r="B472" s="20"/>
      <x:c r="C472" s="21"/>
      <x:c r="D472" s="20"/>
      <x:c r="E472" s="20"/>
      <x:c r="F472" s="20"/>
      <x:c r="G472" s="22"/>
      <x:c r="H472" s="22"/>
      <x:c r="I472" s="22"/>
      <x:c r="J472" s="23"/>
      <x:c r="K472" s="20"/>
      <x:c r="L472" s="20"/>
      <x:c r="M472" s="21"/>
      <x:c r="N472" s="20"/>
      <x:c r="O472" s="24" t="str">
        <x:f>IF(C472="","",MAX(0,TODAY()-C472))</x:f>
      </x:c>
      <x:c r="P472" s="22" t="str">
        <x:f>IF(OR(G472="",J472=""),"",G472*J472)</x:f>
      </x:c>
      <x:c r="Q472" s="20"/>
      <x:c r="R472" s="20"/>
      <x:c r="S472" s="20"/>
      <x:c r="T472" s="22" t="str">
        <x:f>IF(K472="","",IFERROR(VLOOKUP(K472,Listas!$G$2:$J$8,4,FALSE),0))</x:f>
      </x:c>
      <x:c r="U472" s="23" t="n">
        <x:f>IFERROR(H472/T472,0)</x:f>
        <x:v>0</x:v>
      </x:c>
      <x:c r="V472" s="20"/>
    </x:row>
    <x:row r="473">
      <x:c r="A473" s="20"/>
      <x:c r="B473" s="20"/>
      <x:c r="C473" s="21"/>
      <x:c r="D473" s="20"/>
      <x:c r="E473" s="20"/>
      <x:c r="F473" s="20"/>
      <x:c r="G473" s="22"/>
      <x:c r="H473" s="22"/>
      <x:c r="I473" s="22"/>
      <x:c r="J473" s="23"/>
      <x:c r="K473" s="20"/>
      <x:c r="L473" s="20"/>
      <x:c r="M473" s="21"/>
      <x:c r="N473" s="20"/>
      <x:c r="O473" s="24" t="str">
        <x:f>IF(C473="","",MAX(0,TODAY()-C473))</x:f>
      </x:c>
      <x:c r="P473" s="22" t="str">
        <x:f>IF(OR(G473="",J473=""),"",G473*J473)</x:f>
      </x:c>
      <x:c r="Q473" s="20"/>
      <x:c r="R473" s="20"/>
      <x:c r="S473" s="20"/>
      <x:c r="T473" s="22" t="str">
        <x:f>IF(K473="","",IFERROR(VLOOKUP(K473,Listas!$G$2:$J$8,4,FALSE),0))</x:f>
      </x:c>
      <x:c r="U473" s="23" t="n">
        <x:f>IFERROR(H473/T473,0)</x:f>
        <x:v>0</x:v>
      </x:c>
      <x:c r="V473" s="20"/>
    </x:row>
    <x:row r="474">
      <x:c r="A474" s="20"/>
      <x:c r="B474" s="20"/>
      <x:c r="C474" s="21"/>
      <x:c r="D474" s="20"/>
      <x:c r="E474" s="20"/>
      <x:c r="F474" s="20"/>
      <x:c r="G474" s="22"/>
      <x:c r="H474" s="22"/>
      <x:c r="I474" s="22"/>
      <x:c r="J474" s="23"/>
      <x:c r="K474" s="20"/>
      <x:c r="L474" s="20"/>
      <x:c r="M474" s="21"/>
      <x:c r="N474" s="20"/>
      <x:c r="O474" s="24" t="str">
        <x:f>IF(C474="","",MAX(0,TODAY()-C474))</x:f>
      </x:c>
      <x:c r="P474" s="22" t="str">
        <x:f>IF(OR(G474="",J474=""),"",G474*J474)</x:f>
      </x:c>
      <x:c r="Q474" s="20"/>
      <x:c r="R474" s="20"/>
      <x:c r="S474" s="20"/>
      <x:c r="T474" s="22" t="str">
        <x:f>IF(K474="","",IFERROR(VLOOKUP(K474,Listas!$G$2:$J$8,4,FALSE),0))</x:f>
      </x:c>
      <x:c r="U474" s="23" t="n">
        <x:f>IFERROR(H474/T474,0)</x:f>
        <x:v>0</x:v>
      </x:c>
      <x:c r="V474" s="20"/>
    </x:row>
    <x:row r="475">
      <x:c r="A475" s="20"/>
      <x:c r="B475" s="20"/>
      <x:c r="C475" s="21"/>
      <x:c r="D475" s="20"/>
      <x:c r="E475" s="20"/>
      <x:c r="F475" s="20"/>
      <x:c r="G475" s="22"/>
      <x:c r="H475" s="22"/>
      <x:c r="I475" s="22"/>
      <x:c r="J475" s="23"/>
      <x:c r="K475" s="20"/>
      <x:c r="L475" s="20"/>
      <x:c r="M475" s="21"/>
      <x:c r="N475" s="20"/>
      <x:c r="O475" s="24" t="str">
        <x:f>IF(C475="","",MAX(0,TODAY()-C475))</x:f>
      </x:c>
      <x:c r="P475" s="22" t="str">
        <x:f>IF(OR(G475="",J475=""),"",G475*J475)</x:f>
      </x:c>
      <x:c r="Q475" s="20"/>
      <x:c r="R475" s="20"/>
      <x:c r="S475" s="20"/>
      <x:c r="T475" s="22" t="str">
        <x:f>IF(K475="","",IFERROR(VLOOKUP(K475,Listas!$G$2:$J$8,4,FALSE),0))</x:f>
      </x:c>
      <x:c r="U475" s="23" t="n">
        <x:f>IFERROR(H475/T475,0)</x:f>
        <x:v>0</x:v>
      </x:c>
      <x:c r="V475" s="20"/>
    </x:row>
    <x:row r="476">
      <x:c r="A476" s="20"/>
      <x:c r="B476" s="20"/>
      <x:c r="C476" s="21"/>
      <x:c r="D476" s="20"/>
      <x:c r="E476" s="20"/>
      <x:c r="F476" s="20"/>
      <x:c r="G476" s="22"/>
      <x:c r="H476" s="22"/>
      <x:c r="I476" s="22"/>
      <x:c r="J476" s="23"/>
      <x:c r="K476" s="20"/>
      <x:c r="L476" s="20"/>
      <x:c r="M476" s="21"/>
      <x:c r="N476" s="20"/>
      <x:c r="O476" s="24" t="str">
        <x:f>IF(C476="","",MAX(0,TODAY()-C476))</x:f>
      </x:c>
      <x:c r="P476" s="22" t="str">
        <x:f>IF(OR(G476="",J476=""),"",G476*J476)</x:f>
      </x:c>
      <x:c r="Q476" s="20"/>
      <x:c r="R476" s="20"/>
      <x:c r="S476" s="20"/>
      <x:c r="T476" s="22" t="str">
        <x:f>IF(K476="","",IFERROR(VLOOKUP(K476,Listas!$G$2:$J$8,4,FALSE),0))</x:f>
      </x:c>
      <x:c r="U476" s="23" t="n">
        <x:f>IFERROR(H476/T476,0)</x:f>
        <x:v>0</x:v>
      </x:c>
      <x:c r="V476" s="20"/>
    </x:row>
    <x:row r="477">
      <x:c r="A477" s="20"/>
      <x:c r="B477" s="20"/>
      <x:c r="C477" s="21"/>
      <x:c r="D477" s="20"/>
      <x:c r="E477" s="20"/>
      <x:c r="F477" s="20"/>
      <x:c r="G477" s="22"/>
      <x:c r="H477" s="22"/>
      <x:c r="I477" s="22"/>
      <x:c r="J477" s="23"/>
      <x:c r="K477" s="20"/>
      <x:c r="L477" s="20"/>
      <x:c r="M477" s="21"/>
      <x:c r="N477" s="20"/>
      <x:c r="O477" s="24" t="str">
        <x:f>IF(C477="","",MAX(0,TODAY()-C477))</x:f>
      </x:c>
      <x:c r="P477" s="22" t="str">
        <x:f>IF(OR(G477="",J477=""),"",G477*J477)</x:f>
      </x:c>
      <x:c r="Q477" s="20"/>
      <x:c r="R477" s="20"/>
      <x:c r="S477" s="20"/>
      <x:c r="T477" s="22" t="str">
        <x:f>IF(K477="","",IFERROR(VLOOKUP(K477,Listas!$G$2:$J$8,4,FALSE),0))</x:f>
      </x:c>
      <x:c r="U477" s="23" t="n">
        <x:f>IFERROR(H477/T477,0)</x:f>
        <x:v>0</x:v>
      </x:c>
      <x:c r="V477" s="20"/>
    </x:row>
    <x:row r="478">
      <x:c r="A478" s="20"/>
      <x:c r="B478" s="20"/>
      <x:c r="C478" s="21"/>
      <x:c r="D478" s="20"/>
      <x:c r="E478" s="20"/>
      <x:c r="F478" s="20"/>
      <x:c r="G478" s="22"/>
      <x:c r="H478" s="22"/>
      <x:c r="I478" s="22"/>
      <x:c r="J478" s="23"/>
      <x:c r="K478" s="20"/>
      <x:c r="L478" s="20"/>
      <x:c r="M478" s="21"/>
      <x:c r="N478" s="20"/>
      <x:c r="O478" s="24" t="str">
        <x:f>IF(C478="","",MAX(0,TODAY()-C478))</x:f>
      </x:c>
      <x:c r="P478" s="22" t="str">
        <x:f>IF(OR(G478="",J478=""),"",G478*J478)</x:f>
      </x:c>
      <x:c r="Q478" s="20"/>
      <x:c r="R478" s="20"/>
      <x:c r="S478" s="20"/>
      <x:c r="T478" s="22" t="str">
        <x:f>IF(K478="","",IFERROR(VLOOKUP(K478,Listas!$G$2:$J$8,4,FALSE),0))</x:f>
      </x:c>
      <x:c r="U478" s="23" t="n">
        <x:f>IFERROR(H478/T478,0)</x:f>
        <x:v>0</x:v>
      </x:c>
      <x:c r="V478" s="20"/>
    </x:row>
    <x:row r="479">
      <x:c r="A479" s="20"/>
      <x:c r="B479" s="20"/>
      <x:c r="C479" s="21"/>
      <x:c r="D479" s="20"/>
      <x:c r="E479" s="20"/>
      <x:c r="F479" s="20"/>
      <x:c r="G479" s="22"/>
      <x:c r="H479" s="22"/>
      <x:c r="I479" s="22"/>
      <x:c r="J479" s="23"/>
      <x:c r="K479" s="20"/>
      <x:c r="L479" s="20"/>
      <x:c r="M479" s="21"/>
      <x:c r="N479" s="20"/>
      <x:c r="O479" s="24" t="str">
        <x:f>IF(C479="","",MAX(0,TODAY()-C479))</x:f>
      </x:c>
      <x:c r="P479" s="22" t="str">
        <x:f>IF(OR(G479="",J479=""),"",G479*J479)</x:f>
      </x:c>
      <x:c r="Q479" s="20"/>
      <x:c r="R479" s="20"/>
      <x:c r="S479" s="20"/>
      <x:c r="T479" s="22" t="str">
        <x:f>IF(K479="","",IFERROR(VLOOKUP(K479,Listas!$G$2:$J$8,4,FALSE),0))</x:f>
      </x:c>
      <x:c r="U479" s="23" t="n">
        <x:f>IFERROR(H479/T479,0)</x:f>
        <x:v>0</x:v>
      </x:c>
      <x:c r="V479" s="20"/>
    </x:row>
    <x:row r="480">
      <x:c r="A480" s="20"/>
      <x:c r="B480" s="20"/>
      <x:c r="C480" s="21"/>
      <x:c r="D480" s="20"/>
      <x:c r="E480" s="20"/>
      <x:c r="F480" s="20"/>
      <x:c r="G480" s="22"/>
      <x:c r="H480" s="22"/>
      <x:c r="I480" s="22"/>
      <x:c r="J480" s="23"/>
      <x:c r="K480" s="20"/>
      <x:c r="L480" s="20"/>
      <x:c r="M480" s="21"/>
      <x:c r="N480" s="20"/>
      <x:c r="O480" s="24" t="str">
        <x:f>IF(C480="","",MAX(0,TODAY()-C480))</x:f>
      </x:c>
      <x:c r="P480" s="22" t="str">
        <x:f>IF(OR(G480="",J480=""),"",G480*J480)</x:f>
      </x:c>
      <x:c r="Q480" s="20"/>
      <x:c r="R480" s="20"/>
      <x:c r="S480" s="20"/>
      <x:c r="T480" s="22" t="str">
        <x:f>IF(K480="","",IFERROR(VLOOKUP(K480,Listas!$G$2:$J$8,4,FALSE),0))</x:f>
      </x:c>
      <x:c r="U480" s="23" t="n">
        <x:f>IFERROR(H480/T480,0)</x:f>
        <x:v>0</x:v>
      </x:c>
      <x:c r="V480" s="20"/>
    </x:row>
    <x:row r="481">
      <x:c r="A481" s="20"/>
      <x:c r="B481" s="20"/>
      <x:c r="C481" s="21"/>
      <x:c r="D481" s="20"/>
      <x:c r="E481" s="20"/>
      <x:c r="F481" s="20"/>
      <x:c r="G481" s="22"/>
      <x:c r="H481" s="22"/>
      <x:c r="I481" s="22"/>
      <x:c r="J481" s="23"/>
      <x:c r="K481" s="20"/>
      <x:c r="L481" s="20"/>
      <x:c r="M481" s="21"/>
      <x:c r="N481" s="20"/>
      <x:c r="O481" s="24" t="str">
        <x:f>IF(C481="","",MAX(0,TODAY()-C481))</x:f>
      </x:c>
      <x:c r="P481" s="22" t="str">
        <x:f>IF(OR(G481="",J481=""),"",G481*J481)</x:f>
      </x:c>
      <x:c r="Q481" s="20"/>
      <x:c r="R481" s="20"/>
      <x:c r="S481" s="20"/>
      <x:c r="T481" s="22" t="str">
        <x:f>IF(K481="","",IFERROR(VLOOKUP(K481,Listas!$G$2:$J$8,4,FALSE),0))</x:f>
      </x:c>
      <x:c r="U481" s="23" t="n">
        <x:f>IFERROR(H481/T481,0)</x:f>
        <x:v>0</x:v>
      </x:c>
      <x:c r="V481" s="20"/>
    </x:row>
    <x:row r="482">
      <x:c r="A482" s="20"/>
      <x:c r="B482" s="20"/>
      <x:c r="C482" s="21"/>
      <x:c r="D482" s="20"/>
      <x:c r="E482" s="20"/>
      <x:c r="F482" s="20"/>
      <x:c r="G482" s="22"/>
      <x:c r="H482" s="22"/>
      <x:c r="I482" s="22"/>
      <x:c r="J482" s="23"/>
      <x:c r="K482" s="20"/>
      <x:c r="L482" s="20"/>
      <x:c r="M482" s="21"/>
      <x:c r="N482" s="20"/>
      <x:c r="O482" s="24" t="str">
        <x:f>IF(C482="","",MAX(0,TODAY()-C482))</x:f>
      </x:c>
      <x:c r="P482" s="22" t="str">
        <x:f>IF(OR(G482="",J482=""),"",G482*J482)</x:f>
      </x:c>
      <x:c r="Q482" s="20"/>
      <x:c r="R482" s="20"/>
      <x:c r="S482" s="20"/>
      <x:c r="T482" s="22" t="str">
        <x:f>IF(K482="","",IFERROR(VLOOKUP(K482,Listas!$G$2:$J$8,4,FALSE),0))</x:f>
      </x:c>
      <x:c r="U482" s="23" t="n">
        <x:f>IFERROR(H482/T482,0)</x:f>
        <x:v>0</x:v>
      </x:c>
      <x:c r="V482" s="20"/>
    </x:row>
    <x:row r="483">
      <x:c r="A483" s="20"/>
      <x:c r="B483" s="20"/>
      <x:c r="C483" s="21"/>
      <x:c r="D483" s="20"/>
      <x:c r="E483" s="20"/>
      <x:c r="F483" s="20"/>
      <x:c r="G483" s="22"/>
      <x:c r="H483" s="22"/>
      <x:c r="I483" s="22"/>
      <x:c r="J483" s="23"/>
      <x:c r="K483" s="20"/>
      <x:c r="L483" s="20"/>
      <x:c r="M483" s="21"/>
      <x:c r="N483" s="20"/>
      <x:c r="O483" s="24" t="str">
        <x:f>IF(C483="","",MAX(0,TODAY()-C483))</x:f>
      </x:c>
      <x:c r="P483" s="22" t="str">
        <x:f>IF(OR(G483="",J483=""),"",G483*J483)</x:f>
      </x:c>
      <x:c r="Q483" s="20"/>
      <x:c r="R483" s="20"/>
      <x:c r="S483" s="20"/>
      <x:c r="T483" s="22" t="str">
        <x:f>IF(K483="","",IFERROR(VLOOKUP(K483,Listas!$G$2:$J$8,4,FALSE),0))</x:f>
      </x:c>
      <x:c r="U483" s="23" t="n">
        <x:f>IFERROR(H483/T483,0)</x:f>
        <x:v>0</x:v>
      </x:c>
      <x:c r="V483" s="20"/>
    </x:row>
    <x:row r="484">
      <x:c r="A484" s="20"/>
      <x:c r="B484" s="20"/>
      <x:c r="C484" s="21"/>
      <x:c r="D484" s="20"/>
      <x:c r="E484" s="20"/>
      <x:c r="F484" s="20"/>
      <x:c r="G484" s="22"/>
      <x:c r="H484" s="22"/>
      <x:c r="I484" s="22"/>
      <x:c r="J484" s="23"/>
      <x:c r="K484" s="20"/>
      <x:c r="L484" s="20"/>
      <x:c r="M484" s="21"/>
      <x:c r="N484" s="20"/>
      <x:c r="O484" s="24" t="str">
        <x:f>IF(C484="","",MAX(0,TODAY()-C484))</x:f>
      </x:c>
      <x:c r="P484" s="22" t="str">
        <x:f>IF(OR(G484="",J484=""),"",G484*J484)</x:f>
      </x:c>
      <x:c r="Q484" s="20"/>
      <x:c r="R484" s="20"/>
      <x:c r="S484" s="20"/>
      <x:c r="T484" s="22" t="str">
        <x:f>IF(K484="","",IFERROR(VLOOKUP(K484,Listas!$G$2:$J$8,4,FALSE),0))</x:f>
      </x:c>
      <x:c r="U484" s="23" t="n">
        <x:f>IFERROR(H484/T484,0)</x:f>
        <x:v>0</x:v>
      </x:c>
      <x:c r="V484" s="20"/>
    </x:row>
    <x:row r="485">
      <x:c r="A485" s="20"/>
      <x:c r="B485" s="20"/>
      <x:c r="C485" s="21"/>
      <x:c r="D485" s="20"/>
      <x:c r="E485" s="20"/>
      <x:c r="F485" s="20"/>
      <x:c r="G485" s="22"/>
      <x:c r="H485" s="22"/>
      <x:c r="I485" s="22"/>
      <x:c r="J485" s="23"/>
      <x:c r="K485" s="20"/>
      <x:c r="L485" s="20"/>
      <x:c r="M485" s="21"/>
      <x:c r="N485" s="20"/>
      <x:c r="O485" s="24" t="str">
        <x:f>IF(C485="","",MAX(0,TODAY()-C485))</x:f>
      </x:c>
      <x:c r="P485" s="22" t="str">
        <x:f>IF(OR(G485="",J485=""),"",G485*J485)</x:f>
      </x:c>
      <x:c r="Q485" s="20"/>
      <x:c r="R485" s="20"/>
      <x:c r="S485" s="20"/>
      <x:c r="T485" s="22" t="str">
        <x:f>IF(K485="","",IFERROR(VLOOKUP(K485,Listas!$G$2:$J$8,4,FALSE),0))</x:f>
      </x:c>
      <x:c r="U485" s="23" t="n">
        <x:f>IFERROR(H485/T485,0)</x:f>
        <x:v>0</x:v>
      </x:c>
      <x:c r="V485" s="20"/>
    </x:row>
    <x:row r="486">
      <x:c r="A486" s="20"/>
      <x:c r="B486" s="20"/>
      <x:c r="C486" s="21"/>
      <x:c r="D486" s="20"/>
      <x:c r="E486" s="20"/>
      <x:c r="F486" s="20"/>
      <x:c r="G486" s="22"/>
      <x:c r="H486" s="22"/>
      <x:c r="I486" s="22"/>
      <x:c r="J486" s="23"/>
      <x:c r="K486" s="20"/>
      <x:c r="L486" s="20"/>
      <x:c r="M486" s="21"/>
      <x:c r="N486" s="20"/>
      <x:c r="O486" s="24" t="str">
        <x:f>IF(C486="","",MAX(0,TODAY()-C486))</x:f>
      </x:c>
      <x:c r="P486" s="22" t="str">
        <x:f>IF(OR(G486="",J486=""),"",G486*J486)</x:f>
      </x:c>
      <x:c r="Q486" s="20"/>
      <x:c r="R486" s="20"/>
      <x:c r="S486" s="20"/>
      <x:c r="T486" s="22" t="str">
        <x:f>IF(K486="","",IFERROR(VLOOKUP(K486,Listas!$G$2:$J$8,4,FALSE),0))</x:f>
      </x:c>
      <x:c r="U486" s="23" t="n">
        <x:f>IFERROR(H486/T486,0)</x:f>
        <x:v>0</x:v>
      </x:c>
      <x:c r="V486" s="20"/>
    </x:row>
    <x:row r="487">
      <x:c r="A487" s="20"/>
      <x:c r="B487" s="20"/>
      <x:c r="C487" s="21"/>
      <x:c r="D487" s="20"/>
      <x:c r="E487" s="20"/>
      <x:c r="F487" s="20"/>
      <x:c r="G487" s="22"/>
      <x:c r="H487" s="22"/>
      <x:c r="I487" s="22"/>
      <x:c r="J487" s="23"/>
      <x:c r="K487" s="20"/>
      <x:c r="L487" s="20"/>
      <x:c r="M487" s="21"/>
      <x:c r="N487" s="20"/>
      <x:c r="O487" s="24" t="str">
        <x:f>IF(C487="","",MAX(0,TODAY()-C487))</x:f>
      </x:c>
      <x:c r="P487" s="22" t="str">
        <x:f>IF(OR(G487="",J487=""),"",G487*J487)</x:f>
      </x:c>
      <x:c r="Q487" s="20"/>
      <x:c r="R487" s="20"/>
      <x:c r="S487" s="20"/>
      <x:c r="T487" s="22" t="str">
        <x:f>IF(K487="","",IFERROR(VLOOKUP(K487,Listas!$G$2:$J$8,4,FALSE),0))</x:f>
      </x:c>
      <x:c r="U487" s="23" t="n">
        <x:f>IFERROR(H487/T487,0)</x:f>
        <x:v>0</x:v>
      </x:c>
      <x:c r="V487" s="20"/>
    </x:row>
    <x:row r="488">
      <x:c r="A488" s="20"/>
      <x:c r="B488" s="20"/>
      <x:c r="C488" s="21"/>
      <x:c r="D488" s="20"/>
      <x:c r="E488" s="20"/>
      <x:c r="F488" s="20"/>
      <x:c r="G488" s="22"/>
      <x:c r="H488" s="22"/>
      <x:c r="I488" s="22"/>
      <x:c r="J488" s="23"/>
      <x:c r="K488" s="20"/>
      <x:c r="L488" s="20"/>
      <x:c r="M488" s="21"/>
      <x:c r="N488" s="20"/>
      <x:c r="O488" s="24" t="str">
        <x:f>IF(C488="","",MAX(0,TODAY()-C488))</x:f>
      </x:c>
      <x:c r="P488" s="22" t="str">
        <x:f>IF(OR(G488="",J488=""),"",G488*J488)</x:f>
      </x:c>
      <x:c r="Q488" s="20"/>
      <x:c r="R488" s="20"/>
      <x:c r="S488" s="20"/>
      <x:c r="T488" s="22" t="str">
        <x:f>IF(K488="","",IFERROR(VLOOKUP(K488,Listas!$G$2:$J$8,4,FALSE),0))</x:f>
      </x:c>
      <x:c r="U488" s="23" t="n">
        <x:f>IFERROR(H488/T488,0)</x:f>
        <x:v>0</x:v>
      </x:c>
      <x:c r="V488" s="20"/>
    </x:row>
    <x:row r="489">
      <x:c r="A489" s="20"/>
      <x:c r="B489" s="20"/>
      <x:c r="C489" s="21"/>
      <x:c r="D489" s="20"/>
      <x:c r="E489" s="20"/>
      <x:c r="F489" s="20"/>
      <x:c r="G489" s="22"/>
      <x:c r="H489" s="22"/>
      <x:c r="I489" s="22"/>
      <x:c r="J489" s="23"/>
      <x:c r="K489" s="20"/>
      <x:c r="L489" s="20"/>
      <x:c r="M489" s="21"/>
      <x:c r="N489" s="20"/>
      <x:c r="O489" s="24" t="str">
        <x:f>IF(C489="","",MAX(0,TODAY()-C489))</x:f>
      </x:c>
      <x:c r="P489" s="22" t="str">
        <x:f>IF(OR(G489="",J489=""),"",G489*J489)</x:f>
      </x:c>
      <x:c r="Q489" s="20"/>
      <x:c r="R489" s="20"/>
      <x:c r="S489" s="20"/>
      <x:c r="T489" s="22" t="str">
        <x:f>IF(K489="","",IFERROR(VLOOKUP(K489,Listas!$G$2:$J$8,4,FALSE),0))</x:f>
      </x:c>
      <x:c r="U489" s="23" t="n">
        <x:f>IFERROR(H489/T489,0)</x:f>
        <x:v>0</x:v>
      </x:c>
      <x:c r="V489" s="20"/>
    </x:row>
    <x:row r="490">
      <x:c r="A490" s="20"/>
      <x:c r="B490" s="20"/>
      <x:c r="C490" s="21"/>
      <x:c r="D490" s="20"/>
      <x:c r="E490" s="20"/>
      <x:c r="F490" s="20"/>
      <x:c r="G490" s="22"/>
      <x:c r="H490" s="22"/>
      <x:c r="I490" s="22"/>
      <x:c r="J490" s="23"/>
      <x:c r="K490" s="20"/>
      <x:c r="L490" s="20"/>
      <x:c r="M490" s="21"/>
      <x:c r="N490" s="20"/>
      <x:c r="O490" s="24" t="str">
        <x:f>IF(C490="","",MAX(0,TODAY()-C490))</x:f>
      </x:c>
      <x:c r="P490" s="22" t="str">
        <x:f>IF(OR(G490="",J490=""),"",G490*J490)</x:f>
      </x:c>
      <x:c r="Q490" s="20"/>
      <x:c r="R490" s="20"/>
      <x:c r="S490" s="20"/>
      <x:c r="T490" s="22" t="str">
        <x:f>IF(K490="","",IFERROR(VLOOKUP(K490,Listas!$G$2:$J$8,4,FALSE),0))</x:f>
      </x:c>
      <x:c r="U490" s="23" t="n">
        <x:f>IFERROR(H490/T490,0)</x:f>
        <x:v>0</x:v>
      </x:c>
      <x:c r="V490" s="20"/>
    </x:row>
    <x:row r="491">
      <x:c r="A491" s="20"/>
      <x:c r="B491" s="20"/>
      <x:c r="C491" s="21"/>
      <x:c r="D491" s="20"/>
      <x:c r="E491" s="20"/>
      <x:c r="F491" s="20"/>
      <x:c r="G491" s="22"/>
      <x:c r="H491" s="22"/>
      <x:c r="I491" s="22"/>
      <x:c r="J491" s="23"/>
      <x:c r="K491" s="20"/>
      <x:c r="L491" s="20"/>
      <x:c r="M491" s="21"/>
      <x:c r="N491" s="20"/>
      <x:c r="O491" s="24" t="str">
        <x:f>IF(C491="","",MAX(0,TODAY()-C491))</x:f>
      </x:c>
      <x:c r="P491" s="22" t="str">
        <x:f>IF(OR(G491="",J491=""),"",G491*J491)</x:f>
      </x:c>
      <x:c r="Q491" s="20"/>
      <x:c r="R491" s="20"/>
      <x:c r="S491" s="20"/>
      <x:c r="T491" s="22" t="str">
        <x:f>IF(K491="","",IFERROR(VLOOKUP(K491,Listas!$G$2:$J$8,4,FALSE),0))</x:f>
      </x:c>
      <x:c r="U491" s="23" t="n">
        <x:f>IFERROR(H491/T491,0)</x:f>
        <x:v>0</x:v>
      </x:c>
      <x:c r="V491" s="20"/>
    </x:row>
    <x:row r="492">
      <x:c r="A492" s="20"/>
      <x:c r="B492" s="20"/>
      <x:c r="C492" s="21"/>
      <x:c r="D492" s="20"/>
      <x:c r="E492" s="20"/>
      <x:c r="F492" s="20"/>
      <x:c r="G492" s="22"/>
      <x:c r="H492" s="22"/>
      <x:c r="I492" s="22"/>
      <x:c r="J492" s="23"/>
      <x:c r="K492" s="20"/>
      <x:c r="L492" s="20"/>
      <x:c r="M492" s="21"/>
      <x:c r="N492" s="20"/>
      <x:c r="O492" s="24" t="str">
        <x:f>IF(C492="","",MAX(0,TODAY()-C492))</x:f>
      </x:c>
      <x:c r="P492" s="22" t="str">
        <x:f>IF(OR(G492="",J492=""),"",G492*J492)</x:f>
      </x:c>
      <x:c r="Q492" s="20"/>
      <x:c r="R492" s="20"/>
      <x:c r="S492" s="20"/>
      <x:c r="T492" s="22" t="str">
        <x:f>IF(K492="","",IFERROR(VLOOKUP(K492,Listas!$G$2:$J$8,4,FALSE),0))</x:f>
      </x:c>
      <x:c r="U492" s="23" t="n">
        <x:f>IFERROR(H492/T492,0)</x:f>
        <x:v>0</x:v>
      </x:c>
      <x:c r="V492" s="20"/>
    </x:row>
    <x:row r="493">
      <x:c r="A493" s="20"/>
      <x:c r="B493" s="20"/>
      <x:c r="C493" s="21"/>
      <x:c r="D493" s="20"/>
      <x:c r="E493" s="20"/>
      <x:c r="F493" s="20"/>
      <x:c r="G493" s="22"/>
      <x:c r="H493" s="22"/>
      <x:c r="I493" s="22"/>
      <x:c r="J493" s="23"/>
      <x:c r="K493" s="20"/>
      <x:c r="L493" s="20"/>
      <x:c r="M493" s="21"/>
      <x:c r="N493" s="20"/>
      <x:c r="O493" s="24" t="str">
        <x:f>IF(C493="","",MAX(0,TODAY()-C493))</x:f>
      </x:c>
      <x:c r="P493" s="22" t="str">
        <x:f>IF(OR(G493="",J493=""),"",G493*J493)</x:f>
      </x:c>
      <x:c r="Q493" s="20"/>
      <x:c r="R493" s="20"/>
      <x:c r="S493" s="20"/>
      <x:c r="T493" s="22" t="str">
        <x:f>IF(K493="","",IFERROR(VLOOKUP(K493,Listas!$G$2:$J$8,4,FALSE),0))</x:f>
      </x:c>
      <x:c r="U493" s="23" t="n">
        <x:f>IFERROR(H493/T493,0)</x:f>
        <x:v>0</x:v>
      </x:c>
      <x:c r="V493" s="20"/>
    </x:row>
    <x:row r="494">
      <x:c r="A494" s="20"/>
      <x:c r="B494" s="20"/>
      <x:c r="C494" s="21"/>
      <x:c r="D494" s="20"/>
      <x:c r="E494" s="20"/>
      <x:c r="F494" s="20"/>
      <x:c r="G494" s="22"/>
      <x:c r="H494" s="22"/>
      <x:c r="I494" s="22"/>
      <x:c r="J494" s="23"/>
      <x:c r="K494" s="20"/>
      <x:c r="L494" s="20"/>
      <x:c r="M494" s="21"/>
      <x:c r="N494" s="20"/>
      <x:c r="O494" s="24" t="str">
        <x:f>IF(C494="","",MAX(0,TODAY()-C494))</x:f>
      </x:c>
      <x:c r="P494" s="22" t="str">
        <x:f>IF(OR(G494="",J494=""),"",G494*J494)</x:f>
      </x:c>
      <x:c r="Q494" s="20"/>
      <x:c r="R494" s="20"/>
      <x:c r="S494" s="20"/>
      <x:c r="T494" s="22" t="str">
        <x:f>IF(K494="","",IFERROR(VLOOKUP(K494,Listas!$G$2:$J$8,4,FALSE),0))</x:f>
      </x:c>
      <x:c r="U494" s="23" t="n">
        <x:f>IFERROR(H494/T494,0)</x:f>
        <x:v>0</x:v>
      </x:c>
      <x:c r="V494" s="20"/>
    </x:row>
    <x:row r="495">
      <x:c r="A495" s="20"/>
      <x:c r="B495" s="20"/>
      <x:c r="C495" s="21"/>
      <x:c r="D495" s="20"/>
      <x:c r="E495" s="20"/>
      <x:c r="F495" s="20"/>
      <x:c r="G495" s="22"/>
      <x:c r="H495" s="22"/>
      <x:c r="I495" s="22"/>
      <x:c r="J495" s="23"/>
      <x:c r="K495" s="20"/>
      <x:c r="L495" s="20"/>
      <x:c r="M495" s="21"/>
      <x:c r="N495" s="20"/>
      <x:c r="O495" s="24" t="str">
        <x:f>IF(C495="","",MAX(0,TODAY()-C495))</x:f>
      </x:c>
      <x:c r="P495" s="22" t="str">
        <x:f>IF(OR(G495="",J495=""),"",G495*J495)</x:f>
      </x:c>
      <x:c r="Q495" s="20"/>
      <x:c r="R495" s="20"/>
      <x:c r="S495" s="20"/>
      <x:c r="T495" s="22" t="str">
        <x:f>IF(K495="","",IFERROR(VLOOKUP(K495,Listas!$G$2:$J$8,4,FALSE),0))</x:f>
      </x:c>
      <x:c r="U495" s="23" t="n">
        <x:f>IFERROR(H495/T495,0)</x:f>
        <x:v>0</x:v>
      </x:c>
      <x:c r="V495" s="20"/>
    </x:row>
    <x:row r="496">
      <x:c r="A496" s="20"/>
      <x:c r="B496" s="20"/>
      <x:c r="C496" s="21"/>
      <x:c r="D496" s="20"/>
      <x:c r="E496" s="20"/>
      <x:c r="F496" s="20"/>
      <x:c r="G496" s="22"/>
      <x:c r="H496" s="22"/>
      <x:c r="I496" s="22"/>
      <x:c r="J496" s="23"/>
      <x:c r="K496" s="20"/>
      <x:c r="L496" s="20"/>
      <x:c r="M496" s="21"/>
      <x:c r="N496" s="20"/>
      <x:c r="O496" s="24" t="str">
        <x:f>IF(C496="","",MAX(0,TODAY()-C496))</x:f>
      </x:c>
      <x:c r="P496" s="22" t="str">
        <x:f>IF(OR(G496="",J496=""),"",G496*J496)</x:f>
      </x:c>
      <x:c r="Q496" s="20"/>
      <x:c r="R496" s="20"/>
      <x:c r="S496" s="20"/>
      <x:c r="T496" s="22" t="str">
        <x:f>IF(K496="","",IFERROR(VLOOKUP(K496,Listas!$G$2:$J$8,4,FALSE),0))</x:f>
      </x:c>
      <x:c r="U496" s="23" t="n">
        <x:f>IFERROR(H496/T496,0)</x:f>
        <x:v>0</x:v>
      </x:c>
      <x:c r="V496" s="20"/>
    </x:row>
    <x:row r="497">
      <x:c r="A497" s="20"/>
      <x:c r="B497" s="20"/>
      <x:c r="C497" s="21"/>
      <x:c r="D497" s="20"/>
      <x:c r="E497" s="20"/>
      <x:c r="F497" s="20"/>
      <x:c r="G497" s="22"/>
      <x:c r="H497" s="22"/>
      <x:c r="I497" s="22"/>
      <x:c r="J497" s="23"/>
      <x:c r="K497" s="20"/>
      <x:c r="L497" s="20"/>
      <x:c r="M497" s="21"/>
      <x:c r="N497" s="20"/>
      <x:c r="O497" s="24" t="str">
        <x:f>IF(C497="","",MAX(0,TODAY()-C497))</x:f>
      </x:c>
      <x:c r="P497" s="22" t="str">
        <x:f>IF(OR(G497="",J497=""),"",G497*J497)</x:f>
      </x:c>
      <x:c r="Q497" s="20"/>
      <x:c r="R497" s="20"/>
      <x:c r="S497" s="20"/>
      <x:c r="T497" s="22" t="str">
        <x:f>IF(K497="","",IFERROR(VLOOKUP(K497,Listas!$G$2:$J$8,4,FALSE),0))</x:f>
      </x:c>
      <x:c r="U497" s="23" t="n">
        <x:f>IFERROR(H497/T497,0)</x:f>
        <x:v>0</x:v>
      </x:c>
      <x:c r="V497" s="20"/>
    </x:row>
    <x:row r="498">
      <x:c r="A498" s="20"/>
      <x:c r="B498" s="20"/>
      <x:c r="C498" s="21"/>
      <x:c r="D498" s="20"/>
      <x:c r="E498" s="20"/>
      <x:c r="F498" s="20"/>
      <x:c r="G498" s="22"/>
      <x:c r="H498" s="22"/>
      <x:c r="I498" s="22"/>
      <x:c r="J498" s="23"/>
      <x:c r="K498" s="20"/>
      <x:c r="L498" s="20"/>
      <x:c r="M498" s="21"/>
      <x:c r="N498" s="20"/>
      <x:c r="O498" s="24" t="str">
        <x:f>IF(C498="","",MAX(0,TODAY()-C498))</x:f>
      </x:c>
      <x:c r="P498" s="22" t="str">
        <x:f>IF(OR(G498="",J498=""),"",G498*J498)</x:f>
      </x:c>
      <x:c r="Q498" s="20"/>
      <x:c r="R498" s="20"/>
      <x:c r="S498" s="20"/>
      <x:c r="T498" s="22" t="str">
        <x:f>IF(K498="","",IFERROR(VLOOKUP(K498,Listas!$G$2:$J$8,4,FALSE),0))</x:f>
      </x:c>
      <x:c r="U498" s="23" t="n">
        <x:f>IFERROR(H498/T498,0)</x:f>
        <x:v>0</x:v>
      </x:c>
      <x:c r="V498" s="20"/>
    </x:row>
    <x:row r="499">
      <x:c r="A499" s="20"/>
      <x:c r="B499" s="20"/>
      <x:c r="C499" s="21"/>
      <x:c r="D499" s="20"/>
      <x:c r="E499" s="20"/>
      <x:c r="F499" s="20"/>
      <x:c r="G499" s="22"/>
      <x:c r="H499" s="22"/>
      <x:c r="I499" s="22"/>
      <x:c r="J499" s="23"/>
      <x:c r="K499" s="20"/>
      <x:c r="L499" s="20"/>
      <x:c r="M499" s="21"/>
      <x:c r="N499" s="20"/>
      <x:c r="O499" s="24" t="str">
        <x:f>IF(C499="","",MAX(0,TODAY()-C499))</x:f>
      </x:c>
      <x:c r="P499" s="22" t="str">
        <x:f>IF(OR(G499="",J499=""),"",G499*J499)</x:f>
      </x:c>
      <x:c r="Q499" s="20"/>
      <x:c r="R499" s="20"/>
      <x:c r="S499" s="20"/>
      <x:c r="T499" s="22" t="str">
        <x:f>IF(K499="","",IFERROR(VLOOKUP(K499,Listas!$G$2:$J$8,4,FALSE),0))</x:f>
      </x:c>
      <x:c r="U499" s="23" t="n">
        <x:f>IFERROR(H499/T499,0)</x:f>
        <x:v>0</x:v>
      </x:c>
      <x:c r="V499" s="20"/>
    </x:row>
    <x:row r="500">
      <x:c r="A500" s="20"/>
      <x:c r="B500" s="20"/>
      <x:c r="C500" s="21"/>
      <x:c r="D500" s="20"/>
      <x:c r="E500" s="20"/>
      <x:c r="F500" s="20"/>
      <x:c r="G500" s="22"/>
      <x:c r="H500" s="22"/>
      <x:c r="I500" s="22"/>
      <x:c r="J500" s="23"/>
      <x:c r="K500" s="20"/>
      <x:c r="L500" s="20"/>
      <x:c r="M500" s="21"/>
      <x:c r="N500" s="20"/>
      <x:c r="O500" s="24" t="str">
        <x:f>IF(C500="","",MAX(0,TODAY()-C500))</x:f>
      </x:c>
      <x:c r="P500" s="22" t="str">
        <x:f>IF(OR(G500="",J500=""),"",G500*J500)</x:f>
      </x:c>
      <x:c r="Q500" s="20"/>
      <x:c r="R500" s="20"/>
      <x:c r="S500" s="20"/>
      <x:c r="T500" s="22" t="str">
        <x:f>IF(K500="","",IFERROR(VLOOKUP(K500,Listas!$G$2:$J$8,4,FALSE),0))</x:f>
      </x:c>
      <x:c r="U500" s="23" t="n">
        <x:f>IFERROR(H500/T500,0)</x:f>
        <x:v>0</x:v>
      </x:c>
      <x:c r="V500" s="20"/>
    </x:row>
    <x:row r="501">
      <x:c r="A501" s="20"/>
      <x:c r="B501" s="20"/>
      <x:c r="C501" s="21"/>
      <x:c r="D501" s="20"/>
      <x:c r="E501" s="20"/>
      <x:c r="F501" s="20"/>
      <x:c r="G501" s="22"/>
      <x:c r="H501" s="22"/>
      <x:c r="I501" s="22"/>
      <x:c r="J501" s="23"/>
      <x:c r="K501" s="20"/>
      <x:c r="L501" s="20"/>
      <x:c r="M501" s="21"/>
      <x:c r="N501" s="20"/>
      <x:c r="O501" s="24" t="str">
        <x:f>IF(C501="","",MAX(0,TODAY()-C501))</x:f>
      </x:c>
      <x:c r="P501" s="22" t="str">
        <x:f>IF(OR(G501="",J501=""),"",G501*J501)</x:f>
      </x:c>
      <x:c r="Q501" s="20"/>
      <x:c r="R501" s="20"/>
      <x:c r="S501" s="20"/>
      <x:c r="T501" s="22" t="str">
        <x:f>IF(K501="","",IFERROR(VLOOKUP(K501,Listas!$G$2:$J$8,4,FALSE),0))</x:f>
      </x:c>
      <x:c r="U501" s="23" t="n">
        <x:f>IFERROR(H501/T501,0)</x:f>
        <x:v>0</x:v>
      </x:c>
      <x:c r="V501" s="20"/>
    </x:row>
  </x:sheetData>
  <x:conditionalFormatting sqref="F2:F501">
    <x:cfRule type="expression" dxfId="0" priority="1">
      <x:formula>OR(F2="Proposta aprovada",F2="Produção / Entrega")</x:formula>
    </x:cfRule>
    <x:cfRule type="expression" dxfId="1" priority="2">
      <x:formula>F2="Perdida"</x:formula>
    </x:cfRule>
  </x:conditionalFormatting>
  <x:conditionalFormatting sqref="R2:R501">
    <x:cfRule type="expression" dxfId="2" priority="3">
      <x:formula>R2="Alta"</x:formula>
    </x:cfRule>
  </x:conditionalFormatting>
  <x:conditionalFormatting sqref="U2:U501">
    <x:cfRule type="dataBar" priority="4">
      <x:dataBar>
        <x:cfvo type="min"/>
        <x:cfvo type="max"/>
        <x:color rgb="FF70AD47"/>
      </x:dataBar>
      <x:extLst>
        <x:ext xmlns:x14="http://schemas.microsoft.com/office/spreadsheetml/2009/9/main" uri="{B025F937-C7B1-47D3-B67F-A62EFF666E3E}">
          <x14:id>{C0B15AED-AF69-47AB-DD9A-9FB73367676A}</x14:id>
        </x:ext>
      </x:extLst>
    </x:cfRule>
  </x:conditionalFormatting>
  <x:dataValidations count="6">
    <x:dataValidation type="list" sqref="F2:F501">
      <x:formula1>Listas!$B$2:$B$6</x:formula1>
    </x:dataValidation>
    <x:dataValidation type="list" sqref="J2:J501">
      <x:formula1>Listas!$C$2:$C$11</x:formula1>
    </x:dataValidation>
    <x:dataValidation type="list" sqref="K2:K501">
      <x:formula1>Listas!$A$2:$A$8</x:formula1>
    </x:dataValidation>
    <x:dataValidation type="list" sqref="R2:R501">
      <x:formula1>Listas!$D$2:$D$5</x:formula1>
    </x:dataValidation>
    <x:dataValidation type="list" sqref="S2:S501">
      <x:formula1>Listas!$E$2:$E$4</x:formula1>
    </x:dataValidation>
    <x:dataValidation type="list" sqref="V2:V501">
      <x:formula1>"Pendente,Em curso,Concluído,Reagendado"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db2f21273864e3e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C0B15AED-AF69-47AB-DD9A-9FB73367676A}">
            <x14:dataBar gradient="1">
              <x14:cfvo type="min"/>
              <x14:cfvo type="max"/>
              <x14:fillColor rgb="FF70AD47"/>
            </x14:dataBar>
          </x14:cfRule>
          <xm:sqref>U2:U501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0" hidden="0" customWidth="1"/>
  </x:cols>
  <x:sheetData>
    <x:row r="1">
      <x:c r="A1" s="32" t="str">
        <x:v>METAS E PERFORMANCE POR COMERCIAL – SEMANA FINDA</x:v>
      </x:c>
      <x:c r="B1" s="32"/>
      <x:c r="C1" s="32"/>
      <x:c r="D1" s="32"/>
      <x:c r="E1" s="32"/>
      <x:c r="F1" s="32"/>
      <x:c r="G1" s="32"/>
      <x:c r="H1" s="32"/>
      <x:c r="I1" s="32"/>
      <x:c r="J1" s="32"/>
    </x:row>
    <x:row r="2">
      <x:c r="A2" s="32"/>
      <x:c r="B2" s="32"/>
      <x:c r="C2" s="32"/>
      <x:c r="D2" s="32"/>
      <x:c r="E2" s="32"/>
      <x:c r="F2" s="32"/>
      <x:c r="G2" s="32"/>
      <x:c r="H2" s="32"/>
      <x:c r="I2" s="32"/>
      <x:c r="J2" s="32"/>
    </x:row>
    <x:row r="4">
      <x:c r="A4" s="6" t="str">
        <x:v>Comercial</x:v>
      </x:c>
      <x:c r="B4" s="6" t="str">
        <x:v>Função</x:v>
      </x:c>
      <x:c r="C4" s="6" t="str">
        <x:v>Meta semanal</x:v>
      </x:c>
      <x:c r="D4" s="6" t="str">
        <x:v>Propostas</x:v>
      </x:c>
      <x:c r="E4" s="6" t="str">
        <x:v>Valor total</x:v>
      </x:c>
      <x:c r="F4" s="6" t="str">
        <x:v>Aprovado</x:v>
      </x:c>
      <x:c r="G4" s="6" t="str">
        <x:v>% Meta</x:v>
      </x:c>
      <x:c r="H4" s="6" t="str">
        <x:v>Pipeline aberto</x:v>
      </x:c>
      <x:c r="I4" s="6" t="str">
        <x:v>Forecast</x:v>
      </x:c>
      <x:c r="J4" s="6" t="str">
        <x:v>Leitura</x:v>
      </x:c>
    </x:row>
    <x:row r="5">
      <x:c r="A5" t="str">
        <x:v>Amélia Cassinda</x:v>
      </x:c>
      <x:c r="B5" t="str">
        <x:v>Sénior</x:v>
      </x:c>
      <x:c r="C5" s="14" t="n">
        <x:v>6250000</x:v>
      </x:c>
      <x:c r="D5" s="14" t="n">
        <x:f>COUNTIFS(Base_Duas_Semanas!$A$2:$A$501,"Semana Finda",Base_Duas_Semanas!$K$2:$K$501,A5)</x:f>
        <x:v>6</x:v>
      </x:c>
      <x:c r="E5" s="14" t="n">
        <x:f>SUMIFS(Base_Duas_Semanas!$G$2:$G$501,Base_Duas_Semanas!$A$2:$A$501,"Semana Finda",Base_Duas_Semanas!$K$2:$K$501,A5)</x:f>
        <x:v>25641530</x:v>
      </x:c>
      <x:c r="F5" s="14" t="n">
        <x:f>SUMIFS(Base_Duas_Semanas!$H$2:$H$501,Base_Duas_Semanas!$A$2:$A$501,"Semana Finda",Base_Duas_Semanas!$K$2:$K$501,A5)</x:f>
        <x:v>2106150</x:v>
      </x:c>
      <x:c r="G5" s="16" t="n">
        <x:f>IFERROR(F5/C5,0)</x:f>
        <x:v>0.336984</x:v>
      </x:c>
      <x:c r="H5" s="14" t="n">
        <x:f>SUMIFS(Base_Duas_Semanas!$G$2:$G$501,Base_Duas_Semanas!$A$2:$A$501,"Semana Finda",Base_Duas_Semanas!$K$2:$K$501,A5,Base_Duas_Semanas!$S$2:$S$501,"Aberto")</x:f>
        <x:v>11755680</x:v>
      </x:c>
      <x:c r="I5" s="14" t="n">
        <x:f>SUMIFS(Base_Duas_Semanas!$P$2:$P$501,Base_Duas_Semanas!$A$2:$A$501,"Semana Finda",Base_Duas_Semanas!$K$2:$K$501,A5)</x:f>
        <x:v>7424022</x:v>
      </x:c>
      <x:c r="J5" t="str">
        <x:f>IF(D5=0,"Sem actividade",IF(G5&gt;=1,"Meta atingida",IF(G5&gt;=0.6,"Acelerar fecho","Intervenção comercial necessária")))</x:f>
        <x:v>Intervenção comercial necessária</x:v>
      </x:c>
    </x:row>
    <x:row r="6">
      <x:c r="A6" t="str">
        <x:v>David Guedes</x:v>
      </x:c>
      <x:c r="B6" t="str">
        <x:v>Comercial</x:v>
      </x:c>
      <x:c r="C6" s="14" t="n">
        <x:v>3750000</x:v>
      </x:c>
      <x:c r="D6" s="14" t="n">
        <x:f>COUNTIFS(Base_Duas_Semanas!$A$2:$A$501,"Semana Finda",Base_Duas_Semanas!$K$2:$K$501,A6)</x:f>
        <x:v>3</x:v>
      </x:c>
      <x:c r="E6" s="14" t="n">
        <x:f>SUMIFS(Base_Duas_Semanas!$G$2:$G$501,Base_Duas_Semanas!$A$2:$A$501,"Semana Finda",Base_Duas_Semanas!$K$2:$K$501,A6)</x:f>
        <x:v>3933570</x:v>
      </x:c>
      <x:c r="F6" s="14" t="n">
        <x:f>SUMIFS(Base_Duas_Semanas!$H$2:$H$501,Base_Duas_Semanas!$A$2:$A$501,"Semana Finda",Base_Duas_Semanas!$K$2:$K$501,A6)</x:f>
        <x:v>3024990</x:v>
      </x:c>
      <x:c r="G6" s="16" t="n">
        <x:f>IFERROR(F6/C6,0)</x:f>
        <x:v>0.806664</x:v>
      </x:c>
      <x:c r="H6" s="14" t="n">
        <x:f>SUMIFS(Base_Duas_Semanas!$G$2:$G$501,Base_Duas_Semanas!$A$2:$A$501,"Semana Finda",Base_Duas_Semanas!$K$2:$K$501,A6,Base_Duas_Semanas!$S$2:$S$501,"Aberto")</x:f>
        <x:v>908580</x:v>
      </x:c>
      <x:c r="I6" s="14" t="n">
        <x:f>SUMIFS(Base_Duas_Semanas!$P$2:$P$501,Base_Duas_Semanas!$A$2:$A$501,"Semana Finda",Base_Duas_Semanas!$K$2:$K$501,A6)</x:f>
        <x:v>3663390</x:v>
      </x:c>
      <x:c r="J6" t="str">
        <x:f>IF(D6=0,"Sem actividade",IF(G6&gt;=1,"Meta atingida",IF(G6&gt;=0.6,"Acelerar fecho","Intervenção comercial necessária")))</x:f>
        <x:v>Acelerar fecho</x:v>
      </x:c>
    </x:row>
    <x:row r="7">
      <x:c r="A7" t="str">
        <x:v>Fernando Leite</x:v>
      </x:c>
      <x:c r="B7" t="str">
        <x:v>Comercial</x:v>
      </x:c>
      <x:c r="C7" s="14" t="n">
        <x:v>2500000</x:v>
      </x:c>
      <x:c r="D7" s="14" t="n">
        <x:f>COUNTIFS(Base_Duas_Semanas!$A$2:$A$501,"Semana Finda",Base_Duas_Semanas!$K$2:$K$501,A7)</x:f>
        <x:v>6</x:v>
      </x:c>
      <x:c r="E7" s="14" t="n">
        <x:f>SUMIFS(Base_Duas_Semanas!$G$2:$G$501,Base_Duas_Semanas!$A$2:$A$501,"Semana Finda",Base_Duas_Semanas!$K$2:$K$501,A7)</x:f>
        <x:v>11307945</x:v>
      </x:c>
      <x:c r="F7" s="14" t="n">
        <x:f>SUMIFS(Base_Duas_Semanas!$H$2:$H$501,Base_Duas_Semanas!$A$2:$A$501,"Semana Finda",Base_Duas_Semanas!$K$2:$K$501,A7)</x:f>
        <x:v>930240</x:v>
      </x:c>
      <x:c r="G7" s="16" t="n">
        <x:f>IFERROR(F7/C7,0)</x:f>
        <x:v>0.372096</x:v>
      </x:c>
      <x:c r="H7" s="14" t="n">
        <x:f>SUMIFS(Base_Duas_Semanas!$G$2:$G$501,Base_Duas_Semanas!$A$2:$A$501,"Semana Finda",Base_Duas_Semanas!$K$2:$K$501,A7,Base_Duas_Semanas!$S$2:$S$501,"Aberto")</x:f>
        <x:v>10377705</x:v>
      </x:c>
      <x:c r="I7" s="14" t="n">
        <x:f>SUMIFS(Base_Duas_Semanas!$P$2:$P$501,Base_Duas_Semanas!$A$2:$A$501,"Semana Finda",Base_Duas_Semanas!$K$2:$K$501,A7)</x:f>
        <x:v>5131596</x:v>
      </x:c>
      <x:c r="J7" t="str">
        <x:f>IF(D7=0,"Sem actividade",IF(G7&gt;=1,"Meta atingida",IF(G7&gt;=0.6,"Acelerar fecho","Intervenção comercial necessária")))</x:f>
        <x:v>Intervenção comercial necessária</x:v>
      </x:c>
    </x:row>
    <x:row r="8">
      <x:c r="A8" t="str">
        <x:v>José Neto</x:v>
      </x:c>
      <x:c r="B8" t="str">
        <x:v>Sénior</x:v>
      </x:c>
      <x:c r="C8" s="14" t="n">
        <x:v>5000000</x:v>
      </x:c>
      <x:c r="D8" s="14" t="n">
        <x:f>COUNTIFS(Base_Duas_Semanas!$A$2:$A$501,"Semana Finda",Base_Duas_Semanas!$K$2:$K$501,A8)</x:f>
        <x:v>3</x:v>
      </x:c>
      <x:c r="E8" s="14" t="n">
        <x:f>SUMIFS(Base_Duas_Semanas!$G$2:$G$501,Base_Duas_Semanas!$A$2:$A$501,"Semana Finda",Base_Duas_Semanas!$K$2:$K$501,A8)</x:f>
        <x:v>31532286</x:v>
      </x:c>
      <x:c r="F8" s="14" t="n">
        <x:f>SUMIFS(Base_Duas_Semanas!$H$2:$H$501,Base_Duas_Semanas!$A$2:$A$501,"Semana Finda",Base_Duas_Semanas!$K$2:$K$501,A8)</x:f>
        <x:v>0</x:v>
      </x:c>
      <x:c r="G8" s="16" t="n">
        <x:f>IFERROR(F8/C8,0)</x:f>
        <x:v>0</x:v>
      </x:c>
      <x:c r="H8" s="14" t="n">
        <x:f>SUMIFS(Base_Duas_Semanas!$G$2:$G$501,Base_Duas_Semanas!$A$2:$A$501,"Semana Finda",Base_Duas_Semanas!$K$2:$K$501,A8,Base_Duas_Semanas!$S$2:$S$501,"Aberto")</x:f>
        <x:v>31532286</x:v>
      </x:c>
      <x:c r="I8" s="14" t="n">
        <x:f>SUMIFS(Base_Duas_Semanas!$P$2:$P$501,Base_Duas_Semanas!$A$2:$A$501,"Semana Finda",Base_Duas_Semanas!$K$2:$K$501,A8)</x:f>
        <x:v>15471042.6</x:v>
      </x:c>
      <x:c r="J8" t="str">
        <x:f>IF(D8=0,"Sem actividade",IF(G8&gt;=1,"Meta atingida",IF(G8&gt;=0.6,"Acelerar fecho","Intervenção comercial necessária")))</x:f>
        <x:v>Intervenção comercial necessária</x:v>
      </x:c>
    </x:row>
    <x:row r="9">
      <x:c r="A9" t="str">
        <x:v>Marta de Oliveira</x:v>
      </x:c>
      <x:c r="B9" t="str">
        <x:v>Sénior</x:v>
      </x:c>
      <x:c r="C9" s="14" t="n">
        <x:v>6250000</x:v>
      </x:c>
      <x:c r="D9" s="14" t="n">
        <x:f>COUNTIFS(Base_Duas_Semanas!$A$2:$A$501,"Semana Finda",Base_Duas_Semanas!$K$2:$K$501,A9)</x:f>
        <x:v>4</x:v>
      </x:c>
      <x:c r="E9" s="14" t="n">
        <x:f>SUMIFS(Base_Duas_Semanas!$G$2:$G$501,Base_Duas_Semanas!$A$2:$A$501,"Semana Finda",Base_Duas_Semanas!$K$2:$K$501,A9)</x:f>
        <x:v>23125294.880000003</x:v>
      </x:c>
      <x:c r="F9" s="14" t="n">
        <x:f>SUMIFS(Base_Duas_Semanas!$H$2:$H$501,Base_Duas_Semanas!$A$2:$A$501,"Semana Finda",Base_Duas_Semanas!$K$2:$K$501,A9)</x:f>
        <x:v>10727120</x:v>
      </x:c>
      <x:c r="G9" s="16" t="n">
        <x:f>IFERROR(F9/C9,0)</x:f>
        <x:v>1.7163392</x:v>
      </x:c>
      <x:c r="H9" s="14" t="n">
        <x:f>SUMIFS(Base_Duas_Semanas!$G$2:$G$501,Base_Duas_Semanas!$A$2:$A$501,"Semana Finda",Base_Duas_Semanas!$K$2:$K$501,A9,Base_Duas_Semanas!$S$2:$S$501,"Aberto")</x:f>
        <x:v>12398174.88</x:v>
      </x:c>
      <x:c r="I9" s="14" t="n">
        <x:f>SUMIFS(Base_Duas_Semanas!$P$2:$P$501,Base_Duas_Semanas!$A$2:$A$501,"Semana Finda",Base_Duas_Semanas!$K$2:$K$501,A9)</x:f>
        <x:v>16926207.44</x:v>
      </x:c>
      <x:c r="J9" t="str">
        <x:f>IF(D9=0,"Sem actividade",IF(G9&gt;=1,"Meta atingida",IF(G9&gt;=0.6,"Acelerar fecho","Intervenção comercial necessária")))</x:f>
        <x:v>Meta atingida</x:v>
      </x:c>
    </x:row>
    <x:row r="10">
      <x:c r="A10" t="str">
        <x:v>Ilídio Pedro</x:v>
      </x:c>
      <x:c r="B10" t="str">
        <x:v>Comercial</x:v>
      </x:c>
      <x:c r="C10" s="14" t="n">
        <x:v>2500000</x:v>
      </x:c>
      <x:c r="D10" s="14" t="n">
        <x:f>COUNTIFS(Base_Duas_Semanas!$A$2:$A$501,"Semana Finda",Base_Duas_Semanas!$K$2:$K$501,A10)</x:f>
        <x:v>2</x:v>
      </x:c>
      <x:c r="E10" s="14" t="n">
        <x:f>SUMIFS(Base_Duas_Semanas!$G$2:$G$501,Base_Duas_Semanas!$A$2:$A$501,"Semana Finda",Base_Duas_Semanas!$K$2:$K$501,A10)</x:f>
        <x:v>24018090</x:v>
      </x:c>
      <x:c r="F10" s="14" t="n">
        <x:f>SUMIFS(Base_Duas_Semanas!$H$2:$H$501,Base_Duas_Semanas!$A$2:$A$501,"Semana Finda",Base_Duas_Semanas!$K$2:$K$501,A10)</x:f>
        <x:v>2109000</x:v>
      </x:c>
      <x:c r="G10" s="16" t="n">
        <x:f>IFERROR(F10/C10,0)</x:f>
        <x:v>0.8436</x:v>
      </x:c>
      <x:c r="H10" s="14" t="n">
        <x:f>SUMIFS(Base_Duas_Semanas!$G$2:$G$501,Base_Duas_Semanas!$A$2:$A$501,"Semana Finda",Base_Duas_Semanas!$K$2:$K$501,A10,Base_Duas_Semanas!$S$2:$S$501,"Aberto")</x:f>
        <x:v>21909090</x:v>
      </x:c>
      <x:c r="I10" s="14" t="n">
        <x:f>SUMIFS(Base_Duas_Semanas!$P$2:$P$501,Base_Duas_Semanas!$A$2:$A$501,"Semana Finda",Base_Duas_Semanas!$K$2:$K$501,A10)</x:f>
        <x:v>6490818</x:v>
      </x:c>
      <x:c r="J10" t="str">
        <x:f>IF(D10=0,"Sem actividade",IF(G10&gt;=1,"Meta atingida",IF(G10&gt;=0.6,"Acelerar fecho","Intervenção comercial necessária")))</x:f>
        <x:v>Acelerar fecho</x:v>
      </x:c>
    </x:row>
    <x:row r="11">
      <x:c r="A11" t="str">
        <x:v>Luiza Baltazar</x:v>
      </x:c>
      <x:c r="B11" t="str">
        <x:v>Sénior EDGER</x:v>
      </x:c>
      <x:c r="C11" s="14" t="n">
        <x:v>7500000</x:v>
      </x:c>
      <x:c r="D11" s="14" t="n">
        <x:f>COUNTIFS(Base_Duas_Semanas!$A$2:$A$501,"Semana Finda",Base_Duas_Semanas!$K$2:$K$501,A11)</x:f>
        <x:v>7</x:v>
      </x:c>
      <x:c r="E11" s="14" t="n">
        <x:f>SUMIFS(Base_Duas_Semanas!$G$2:$G$501,Base_Duas_Semanas!$A$2:$A$501,"Semana Finda",Base_Duas_Semanas!$K$2:$K$501,A11)</x:f>
        <x:v>38369550</x:v>
      </x:c>
      <x:c r="F11" s="14" t="n">
        <x:f>SUMIFS(Base_Duas_Semanas!$H$2:$H$501,Base_Duas_Semanas!$A$2:$A$501,"Semana Finda",Base_Duas_Semanas!$K$2:$K$501,A11)</x:f>
        <x:v>1017450</x:v>
      </x:c>
      <x:c r="G11" s="16" t="n">
        <x:f>IFERROR(F11/C11,0)</x:f>
        <x:v>0.13566</x:v>
      </x:c>
      <x:c r="H11" s="14" t="n">
        <x:f>SUMIFS(Base_Duas_Semanas!$G$2:$G$501,Base_Duas_Semanas!$A$2:$A$501,"Semana Finda",Base_Duas_Semanas!$K$2:$K$501,A11,Base_Duas_Semanas!$S$2:$S$501,"Aberto")</x:f>
        <x:v>37611450</x:v>
      </x:c>
      <x:c r="I11" s="14" t="n">
        <x:f>SUMIFS(Base_Duas_Semanas!$P$2:$P$501,Base_Duas_Semanas!$A$2:$A$501,"Semana Finda",Base_Duas_Semanas!$K$2:$K$501,A11)</x:f>
        <x:v>21246066</x:v>
      </x:c>
      <x:c r="J11" t="str">
        <x:f>IF(D11=0,"Sem actividade",IF(G11&gt;=1,"Meta atingida",IF(G11&gt;=0.6,"Acelerar fecho","Intervenção comercial necessária")))</x:f>
        <x:v>Intervenção comercial necessária</x:v>
      </x:c>
    </x:row>
  </x:sheetData>
  <x:mergeCells>
    <x:mergeCell ref="A1:J2"/>
  </x:mergeCells>
  <x:conditionalFormatting sqref="G5:G11">
    <x:cfRule type="dataBar" priority="1">
      <x:dataBar>
        <x:cfvo type="min"/>
        <x:cfvo type="max"/>
        <x:color rgb="FF70AD47"/>
      </x:dataBar>
      <x:extLst>
        <x:ext xmlns:x14="http://schemas.microsoft.com/office/spreadsheetml/2009/9/main" uri="{B025F937-C7B1-47D3-B67F-A62EFF666E3E}">
          <x14:id>{FA9AC2ED-70C9-64AF-9748-D35E62B24DC1}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A9AC2ED-70C9-64AF-9748-D35E62B24DC1}">
            <x14:dataBar gradient="1">
              <x14:cfvo type="min"/>
              <x14:cfvo type="max"/>
              <x14:fillColor rgb="FF70AD47"/>
            </x14:dataBar>
          </x14:cfRule>
          <xm:sqref>G5:G11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24" hidden="0" customWidth="1"/>
    <x:col min="4" max="4" width="17" hidden="0" customWidth="1"/>
    <x:col min="5" max="5" width="13" hidden="0" customWidth="1"/>
    <x:col min="6" max="6" width="13" hidden="0" customWidth="1"/>
    <x:col min="7" max="7" width="40" hidden="0" customWidth="1"/>
    <x:col min="8" max="8" width="16" hidden="0" customWidth="1"/>
    <x:col min="9" max="9" width="34" hidden="0" customWidth="1"/>
    <x:col min="10" max="10" width="18" hidden="0" customWidth="1"/>
    <x:col min="11" max="11" width="30" hidden="0" customWidth="1"/>
  </x:cols>
  <x:sheetData>
    <x:row r="1">
      <x:c r="A1" s="32" t="str">
        <x:v>RECOMENDAÇÕES DE CRM – PRÓXIMA SEMANA E ACOMPANHAMENTO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</x:row>
    <x:row r="2">
      <x:c r="A2" s="32"/>
      <x:c r="B2" s="32"/>
      <x:c r="C2" s="32"/>
      <x:c r="D2" s="32"/>
      <x:c r="E2" s="32"/>
      <x:c r="F2" s="32"/>
      <x:c r="G2" s="32"/>
      <x:c r="H2" s="32"/>
      <x:c r="I2" s="32"/>
      <x:c r="J2" s="32"/>
      <x:c r="K2" s="32"/>
    </x:row>
    <x:row r="4">
      <x:c r="A4" s="6" t="str">
        <x:v>Cliente</x:v>
      </x:c>
      <x:c r="B4" s="6" t="str">
        <x:v>Comercial</x:v>
      </x:c>
      <x:c r="C4" s="6" t="str">
        <x:v>Estado</x:v>
      </x:c>
      <x:c r="D4" s="6" t="str">
        <x:v>Valor</x:v>
      </x:c>
      <x:c r="E4" s="6" t="str">
        <x:v>Prioridade</x:v>
      </x:c>
      <x:c r="F4" s="6" t="str">
        <x:v>Dias em aberto</x:v>
      </x:c>
      <x:c r="G4" s="6" t="str">
        <x:v>Recomendação automática</x:v>
      </x:c>
      <x:c r="H4" s="6" t="str">
        <x:v>Prazo</x:v>
      </x:c>
      <x:c r="I4" s="6" t="str">
        <x:v>Resultado esperado</x:v>
      </x:c>
      <x:c r="J4" s="6" t="str">
        <x:v>Acompanhamento</x:v>
      </x:c>
      <x:c r="K4" s="6" t="str">
        <x:v>Observação final</x:v>
      </x:c>
    </x:row>
    <x:row r="5">
      <x:c r="A5" s="20" t="str">
        <x:v>IMOCASAIS</x:v>
      </x:c>
      <x:c r="B5" s="20" t="str">
        <x:v>Luiza Baltazar</x:v>
      </x:c>
      <x:c r="C5" s="20" t="str">
        <x:v>Proposta em negociação</x:v>
      </x:c>
      <x:c r="D5" s="22" t="n">
        <x:v>1385100</x:v>
      </x:c>
      <x:c r="E5" s="20" t="str">
        <x:v>Normal</x:v>
      </x:c>
      <x:c r="F5" s="20" t="n">
        <x:v>1</x:v>
      </x:c>
      <x:c r="G5" s="20" t="str">
        <x:f>IF(OR(E5="Alta",D5&gt;=10000000),"Contacto directo ao decisor e reunião de fecho",IF(F5&gt;15,"Reactivar processo e solicitar decisão formal","Executar próxima acção e actualizar CRM"))</x:f>
        <x:v>Executar próxima acção e actualizar CRM</x:v>
      </x:c>
      <x:c r="H5" s="20" t="str">
        <x:f>IF(OR(E5="Alta",D5&gt;=10000000),"48 horas","Até 5 dias úteis")</x:f>
        <x:v>Até 5 dias úteis</x:v>
      </x:c>
      <x:c r="I5" s="20" t="str">
        <x:f>IF(C5="Proposta em negociação","Obter PO, adjudicação ou data formal de decisão","Obter feedback e evolução do estado")</x:f>
        <x:v>Obter PO, adjudicação ou data formal de decisão</x:v>
      </x:c>
      <x:c r="J5" s="20" t="str">
        <x:v>Pendente</x:v>
      </x:c>
      <x:c r="K5" s="20" t="str"/>
    </x:row>
    <x:row r="6">
      <x:c r="A6" s="20" t="str">
        <x:v>SUEZ</x:v>
      </x:c>
      <x:c r="B6" s="20" t="str">
        <x:v>Luiza Baltazar</x:v>
      </x:c>
      <x:c r="C6" s="20" t="str">
        <x:v>Proposta em negociação</x:v>
      </x:c>
      <x:c r="D6" s="22" t="n">
        <x:v>6260880</x:v>
      </x:c>
      <x:c r="E6" s="20" t="str">
        <x:v>Alta</x:v>
      </x:c>
      <x:c r="F6" s="20" t="n">
        <x:v>3</x:v>
      </x:c>
      <x:c r="G6" s="20" t="str">
        <x:f>IF(OR(E6="Alta",D6&gt;=10000000),"Contacto directo ao decisor e reunião de fecho",IF(F6&gt;15,"Reactivar processo e solicitar decisão formal","Executar próxima acção e actualizar CRM"))</x:f>
        <x:v>Contacto directo ao decisor e reunião de fecho</x:v>
      </x:c>
      <x:c r="H6" s="20" t="str">
        <x:f>IF(OR(E6="Alta",D6&gt;=10000000),"48 horas","Até 5 dias úteis")</x:f>
        <x:v>48 horas</x:v>
      </x:c>
      <x:c r="I6" s="20" t="str">
        <x:f>IF(C6="Proposta em negociação","Obter PO, adjudicação ou data formal de decisão","Obter feedback e evolução do estado")</x:f>
        <x:v>Obter PO, adjudicação ou data formal de decisão</x:v>
      </x:c>
      <x:c r="J6" s="20" t="str">
        <x:v>Pendente</x:v>
      </x:c>
      <x:c r="K6" s="20" t="str"/>
    </x:row>
    <x:row r="7">
      <x:c r="A7" s="20" t="str">
        <x:v>SIAC</x:v>
      </x:c>
      <x:c r="B7" s="20" t="str">
        <x:v>Luiza Baltazar</x:v>
      </x:c>
      <x:c r="C7" s="20" t="str">
        <x:v>Proposta enviada</x:v>
      </x:c>
      <x:c r="D7" s="22" t="n">
        <x:v>19418760</x:v>
      </x:c>
      <x:c r="E7" s="20" t="str">
        <x:v>Média</x:v>
      </x:c>
      <x:c r="F7" s="20" t="n">
        <x:v>3</x:v>
      </x:c>
      <x:c r="G7" s="20" t="str">
        <x:f>IF(OR(E7="Alta",D7&gt;=10000000),"Contacto directo ao decisor e reunião de fecho",IF(F7&gt;15,"Reactivar processo e solicitar decisão formal","Executar próxima acção e actualizar CRM"))</x:f>
        <x:v>Contacto directo ao decisor e reunião de fecho</x:v>
      </x:c>
      <x:c r="H7" s="20" t="str">
        <x:f>IF(OR(E7="Alta",D7&gt;=10000000),"48 horas","Até 5 dias úteis")</x:f>
        <x:v>48 horas</x:v>
      </x:c>
      <x:c r="I7" s="20" t="str">
        <x:f>IF(C7="Proposta em negociação","Obter PO, adjudicação ou data formal de decisão","Obter feedback e evolução do estado")</x:f>
        <x:v>Obter feedback e evolução do estado</x:v>
      </x:c>
      <x:c r="J7" s="20" t="str">
        <x:v>Pendente</x:v>
      </x:c>
      <x:c r="K7" s="20" t="str"/>
    </x:row>
    <x:row r="8">
      <x:c r="A8" s="20" t="str">
        <x:v>ALIANÇA SEGUROS</x:v>
      </x:c>
      <x:c r="B8" s="20" t="str">
        <x:v>Luiza Baltazar</x:v>
      </x:c>
      <x:c r="C8" s="20" t="str">
        <x:v>Proposta enviada</x:v>
      </x:c>
      <x:c r="D8" s="22" t="n">
        <x:v>3328800</x:v>
      </x:c>
      <x:c r="E8" s="20" t="str">
        <x:v>Normal</x:v>
      </x:c>
      <x:c r="F8" s="20" t="n">
        <x:v>2</x:v>
      </x:c>
      <x:c r="G8" s="20" t="str">
        <x:f>IF(OR(E8="Alta",D8&gt;=10000000),"Contacto directo ao decisor e reunião de fecho",IF(F8&gt;15,"Reactivar processo e solicitar decisão formal","Executar próxima acção e actualizar CRM"))</x:f>
        <x:v>Executar próxima acção e actualizar CRM</x:v>
      </x:c>
      <x:c r="H8" s="20" t="str">
        <x:f>IF(OR(E8="Alta",D8&gt;=10000000),"48 horas","Até 5 dias úteis")</x:f>
        <x:v>Até 5 dias úteis</x:v>
      </x:c>
      <x:c r="I8" s="20" t="str">
        <x:f>IF(C8="Proposta em negociação","Obter PO, adjudicação ou data formal de decisão","Obter feedback e evolução do estado")</x:f>
        <x:v>Obter feedback e evolução do estado</x:v>
      </x:c>
      <x:c r="J8" s="20" t="str">
        <x:v>Pendente</x:v>
      </x:c>
      <x:c r="K8" s="20" t="str"/>
    </x:row>
    <x:row r="9">
      <x:c r="A9" s="20" t="str">
        <x:v>COSCAL</x:v>
      </x:c>
      <x:c r="B9" s="20" t="str">
        <x:v>Luiza Baltazar</x:v>
      </x:c>
      <x:c r="C9" s="20" t="str">
        <x:v>Produção / Entrega</x:v>
      </x:c>
      <x:c r="D9" s="22" t="n">
        <x:v>259350</x:v>
      </x:c>
      <x:c r="E9" s="20" t="str">
        <x:v>Alta</x:v>
      </x:c>
      <x:c r="F9" s="20" t="n">
        <x:v>1</x:v>
      </x:c>
      <x:c r="G9" s="20" t="str">
        <x:f>IF(OR(E9="Alta",D9&gt;=10000000),"Contacto directo ao decisor e reunião de fecho",IF(F9&gt;15,"Reactivar processo e solicitar decisão formal","Executar próxima acção e actualizar CRM"))</x:f>
        <x:v>Contacto directo ao decisor e reunião de fecho</x:v>
      </x:c>
      <x:c r="H9" s="20" t="str">
        <x:f>IF(OR(E9="Alta",D9&gt;=10000000),"48 horas","Até 5 dias úteis")</x:f>
        <x:v>48 horas</x:v>
      </x:c>
      <x:c r="I9" s="20" t="str">
        <x:f>IF(C9="Proposta em negociação","Obter PO, adjudicação ou data formal de decisão","Obter feedback e evolução do estado")</x:f>
        <x:v>Obter feedback e evolução do estado</x:v>
      </x:c>
      <x:c r="J9" s="20" t="str">
        <x:v>Pendente</x:v>
      </x:c>
      <x:c r="K9" s="20" t="str"/>
    </x:row>
    <x:row r="10">
      <x:c r="A10" s="20" t="str">
        <x:v>ENDIAMA</x:v>
      </x:c>
      <x:c r="B10" s="20" t="str">
        <x:v>Luiza Baltazar</x:v>
      </x:c>
      <x:c r="C10" s="20" t="str">
        <x:v>Proposta em negociação</x:v>
      </x:c>
      <x:c r="D10" s="22" t="n">
        <x:v>6958560</x:v>
      </x:c>
      <x:c r="E10" s="20" t="str">
        <x:v>Alta</x:v>
      </x:c>
      <x:c r="F10" s="20" t="n">
        <x:v>24</x:v>
      </x:c>
      <x:c r="G10" s="20" t="str">
        <x:f>IF(OR(E10="Alta",D10&gt;=10000000),"Contacto directo ao decisor e reunião de fecho",IF(F10&gt;15,"Reactivar processo e solicitar decisão formal","Executar próxima acção e actualizar CRM"))</x:f>
        <x:v>Contacto directo ao decisor e reunião de fecho</x:v>
      </x:c>
      <x:c r="H10" s="20" t="str">
        <x:f>IF(OR(E10="Alta",D10&gt;=10000000),"48 horas","Até 5 dias úteis")</x:f>
        <x:v>48 horas</x:v>
      </x:c>
      <x:c r="I10" s="20" t="str">
        <x:f>IF(C10="Proposta em negociação","Obter PO, adjudicação ou data formal de decisão","Obter feedback e evolução do estado")</x:f>
        <x:v>Obter PO, adjudicação ou data formal de decisão</x:v>
      </x:c>
      <x:c r="J10" s="20" t="str">
        <x:v>Pendente</x:v>
      </x:c>
      <x:c r="K10" s="20" t="str"/>
    </x:row>
    <x:row r="11">
      <x:c r="A11" s="20" t="str">
        <x:v>XPRINT</x:v>
      </x:c>
      <x:c r="B11" s="20" t="str">
        <x:v>Amélia Cassinda</x:v>
      </x:c>
      <x:c r="C11" s="20" t="str">
        <x:v>Proposta enviada</x:v>
      </x:c>
      <x:c r="D11" s="22" t="n">
        <x:v>2350680</x:v>
      </x:c>
      <x:c r="E11" s="20" t="str">
        <x:v>Normal</x:v>
      </x:c>
      <x:c r="F11" s="20" t="n">
        <x:v>4</x:v>
      </x:c>
      <x:c r="G11" s="20" t="str">
        <x:f>IF(OR(E11="Alta",D11&gt;=10000000),"Contacto directo ao decisor e reunião de fecho",IF(F11&gt;15,"Reactivar processo e solicitar decisão formal","Executar próxima acção e actualizar CRM"))</x:f>
        <x:v>Executar próxima acção e actualizar CRM</x:v>
      </x:c>
      <x:c r="H11" s="20" t="str">
        <x:f>IF(OR(E11="Alta",D11&gt;=10000000),"48 horas","Até 5 dias úteis")</x:f>
        <x:v>Até 5 dias úteis</x:v>
      </x:c>
      <x:c r="I11" s="20" t="str">
        <x:f>IF(C11="Proposta em negociação","Obter PO, adjudicação ou data formal de decisão","Obter feedback e evolução do estado")</x:f>
        <x:v>Obter feedback e evolução do estado</x:v>
      </x:c>
      <x:c r="J11" s="20" t="str">
        <x:v>Pendente</x:v>
      </x:c>
      <x:c r="K11" s="20" t="str"/>
    </x:row>
    <x:row r="12">
      <x:c r="A12" s="20" t="str">
        <x:v>DUBAI INVESTIMETS</x:v>
      </x:c>
      <x:c r="B12" s="20" t="str">
        <x:v>Amélia Cassinda</x:v>
      </x:c>
      <x:c r="C12" s="20" t="str">
        <x:v>Proposta enviada</x:v>
      </x:c>
      <x:c r="D12" s="22" t="n">
        <x:v>6156000</x:v>
      </x:c>
      <x:c r="E12" s="20" t="str">
        <x:v>Média</x:v>
      </x:c>
      <x:c r="F12" s="20" t="n">
        <x:v>0</x:v>
      </x:c>
      <x:c r="G12" s="20" t="str">
        <x:f>IF(OR(E12="Alta",D12&gt;=10000000),"Contacto directo ao decisor e reunião de fecho",IF(F12&gt;15,"Reactivar processo e solicitar decisão formal","Executar próxima acção e actualizar CRM"))</x:f>
        <x:v>Executar próxima acção e actualizar CRM</x:v>
      </x:c>
      <x:c r="H12" s="20" t="str">
        <x:f>IF(OR(E12="Alta",D12&gt;=10000000),"48 horas","Até 5 dias úteis")</x:f>
        <x:v>Até 5 dias úteis</x:v>
      </x:c>
      <x:c r="I12" s="20" t="str">
        <x:f>IF(C12="Proposta em negociação","Obter PO, adjudicação ou data formal de decisão","Obter feedback e evolução do estado")</x:f>
        <x:v>Obter feedback e evolução do estado</x:v>
      </x:c>
      <x:c r="J12" s="20" t="str">
        <x:v>Pendente</x:v>
      </x:c>
      <x:c r="K12" s="20" t="str"/>
    </x:row>
    <x:row r="13">
      <x:c r="A13" s="20" t="str">
        <x:v>DUBAI INVESTIMETS</x:v>
      </x:c>
      <x:c r="B13" s="20" t="str">
        <x:v>Amélia Cassinda</x:v>
      </x:c>
      <x:c r="C13" s="20" t="str">
        <x:v>Proposta enviada</x:v>
      </x:c>
      <x:c r="D13" s="22" t="n">
        <x:v>3249000</x:v>
      </x:c>
      <x:c r="E13" s="20" t="str">
        <x:v>Normal</x:v>
      </x:c>
      <x:c r="F13" s="20" t="n">
        <x:v>2</x:v>
      </x:c>
      <x:c r="G13" s="20" t="str">
        <x:f>IF(OR(E13="Alta",D13&gt;=10000000),"Contacto directo ao decisor e reunião de fecho",IF(F13&gt;15,"Reactivar processo e solicitar decisão formal","Executar próxima acção e actualizar CRM"))</x:f>
        <x:v>Executar próxima acção e actualizar CRM</x:v>
      </x:c>
      <x:c r="H13" s="20" t="str">
        <x:f>IF(OR(E13="Alta",D13&gt;=10000000),"48 horas","Até 5 dias úteis")</x:f>
        <x:v>Até 5 dias úteis</x:v>
      </x:c>
      <x:c r="I13" s="20" t="str">
        <x:f>IF(C13="Proposta em negociação","Obter PO, adjudicação ou data formal de decisão","Obter feedback e evolução do estado")</x:f>
        <x:v>Obter feedback e evolução do estado</x:v>
      </x:c>
      <x:c r="J13" s="20" t="str">
        <x:v>Pendente</x:v>
      </x:c>
      <x:c r="K13" s="20" t="str"/>
    </x:row>
    <x:row r="14">
      <x:c r="A14" s="20" t="str">
        <x:v>AFRICANA</x:v>
      </x:c>
      <x:c r="B14" s="20" t="str">
        <x:v>Marta de Oliveira</x:v>
      </x:c>
      <x:c r="C14" s="20" t="str">
        <x:v>Proposta em negociação</x:v>
      </x:c>
      <x:c r="D14" s="22" t="n">
        <x:v>12398174.88</x:v>
      </x:c>
      <x:c r="E14" s="20" t="str">
        <x:v>Média</x:v>
      </x:c>
      <x:c r="F14" s="20" t="n">
        <x:v>1</x:v>
      </x:c>
      <x:c r="G14" s="20" t="str">
        <x:f>IF(OR(E14="Alta",D14&gt;=10000000),"Contacto directo ao decisor e reunião de fecho",IF(F14&gt;15,"Reactivar processo e solicitar decisão formal","Executar próxima acção e actualizar CRM"))</x:f>
        <x:v>Contacto directo ao decisor e reunião de fecho</x:v>
      </x:c>
      <x:c r="H14" s="20" t="str">
        <x:f>IF(OR(E14="Alta",D14&gt;=10000000),"48 horas","Até 5 dias úteis")</x:f>
        <x:v>48 horas</x:v>
      </x:c>
      <x:c r="I14" s="20" t="str">
        <x:f>IF(C14="Proposta em negociação","Obter PO, adjudicação ou data formal de decisão","Obter feedback e evolução do estado")</x:f>
        <x:v>Obter PO, adjudicação ou data formal de decisão</x:v>
      </x:c>
      <x:c r="J14" s="20" t="str">
        <x:v>Pendente</x:v>
      </x:c>
      <x:c r="K14" s="20" t="str"/>
    </x:row>
    <x:row r="15">
      <x:c r="A15" s="20" t="str">
        <x:v>PRODEL</x:v>
      </x:c>
      <x:c r="B15" s="20" t="str">
        <x:v>José Neto</x:v>
      </x:c>
      <x:c r="C15" s="20" t="str">
        <x:v>Proposta enviada</x:v>
      </x:c>
      <x:c r="D15" s="22" t="n">
        <x:v>28581282</x:v>
      </x:c>
      <x:c r="E15" s="20" t="str">
        <x:v>Média</x:v>
      </x:c>
      <x:c r="F15" s="20" t="n">
        <x:v>3</x:v>
      </x:c>
      <x:c r="G15" s="20" t="str">
        <x:f>IF(OR(E15="Alta",D15&gt;=10000000),"Contacto directo ao decisor e reunião de fecho",IF(F15&gt;15,"Reactivar processo e solicitar decisão formal","Executar próxima acção e actualizar CRM"))</x:f>
        <x:v>Contacto directo ao decisor e reunião de fecho</x:v>
      </x:c>
      <x:c r="H15" s="20" t="str">
        <x:f>IF(OR(E15="Alta",D15&gt;=10000000),"48 horas","Até 5 dias úteis")</x:f>
        <x:v>48 horas</x:v>
      </x:c>
      <x:c r="I15" s="20" t="str">
        <x:f>IF(C15="Proposta em negociação","Obter PO, adjudicação ou data formal de decisão","Obter feedback e evolução do estado")</x:f>
        <x:v>Obter feedback e evolução do estado</x:v>
      </x:c>
      <x:c r="J15" s="20" t="str">
        <x:v>Pendente</x:v>
      </x:c>
      <x:c r="K15" s="20" t="str"/>
    </x:row>
    <x:row r="16">
      <x:c r="A16" s="20" t="str">
        <x:v>JUMUCUZA</x:v>
      </x:c>
      <x:c r="B16" s="20" t="str">
        <x:v>José Neto</x:v>
      </x:c>
      <x:c r="C16" s="20" t="str">
        <x:v>Proposta enviada</x:v>
      </x:c>
      <x:c r="D16" s="22" t="n">
        <x:v>953610</x:v>
      </x:c>
      <x:c r="E16" s="20" t="str">
        <x:v>Normal</x:v>
      </x:c>
      <x:c r="F16" s="20" t="n">
        <x:v>2</x:v>
      </x:c>
      <x:c r="G16" s="20" t="str">
        <x:f>IF(OR(E16="Alta",D16&gt;=10000000),"Contacto directo ao decisor e reunião de fecho",IF(F16&gt;15,"Reactivar processo e solicitar decisão formal","Executar próxima acção e actualizar CRM"))</x:f>
        <x:v>Executar próxima acção e actualizar CRM</x:v>
      </x:c>
      <x:c r="H16" s="20" t="str">
        <x:f>IF(OR(E16="Alta",D16&gt;=10000000),"48 horas","Até 5 dias úteis")</x:f>
        <x:v>Até 5 dias úteis</x:v>
      </x:c>
      <x:c r="I16" s="20" t="str">
        <x:f>IF(C16="Proposta em negociação","Obter PO, adjudicação ou data formal de decisão","Obter feedback e evolução do estado")</x:f>
        <x:v>Obter feedback e evolução do estado</x:v>
      </x:c>
      <x:c r="J16" s="20" t="str">
        <x:v>Pendente</x:v>
      </x:c>
      <x:c r="K16" s="20" t="str"/>
    </x:row>
    <x:row r="17">
      <x:c r="A17" s="20" t="str">
        <x:v>CERTAVE</x:v>
      </x:c>
      <x:c r="B17" s="20" t="str">
        <x:v>José Neto</x:v>
      </x:c>
      <x:c r="C17" s="20" t="str">
        <x:v>Proposta enviada</x:v>
      </x:c>
      <x:c r="D17" s="22" t="n">
        <x:v>1997394</x:v>
      </x:c>
      <x:c r="E17" s="20" t="str">
        <x:v>Normal</x:v>
      </x:c>
      <x:c r="F17" s="20" t="n">
        <x:v>0</x:v>
      </x:c>
      <x:c r="G17" s="20" t="str">
        <x:f>IF(OR(E17="Alta",D17&gt;=10000000),"Contacto directo ao decisor e reunião de fecho",IF(F17&gt;15,"Reactivar processo e solicitar decisão formal","Executar próxima acção e actualizar CRM"))</x:f>
        <x:v>Executar próxima acção e actualizar CRM</x:v>
      </x:c>
      <x:c r="H17" s="20" t="str">
        <x:f>IF(OR(E17="Alta",D17&gt;=10000000),"48 horas","Até 5 dias úteis")</x:f>
        <x:v>Até 5 dias úteis</x:v>
      </x:c>
      <x:c r="I17" s="20" t="str">
        <x:f>IF(C17="Proposta em negociação","Obter PO, adjudicação ou data formal de decisão","Obter feedback e evolução do estado")</x:f>
        <x:v>Obter feedback e evolução do estado</x:v>
      </x:c>
      <x:c r="J17" s="20" t="str">
        <x:v>Pendente</x:v>
      </x:c>
      <x:c r="K17" s="20" t="str"/>
    </x:row>
    <x:row r="18">
      <x:c r="A18" s="20" t="str">
        <x:v>RHUANITO</x:v>
      </x:c>
      <x:c r="B18" s="20" t="str">
        <x:v>David Guedes</x:v>
      </x:c>
      <x:c r="C18" s="20" t="str">
        <x:v>Proposta em negociação</x:v>
      </x:c>
      <x:c r="D18" s="22" t="n">
        <x:v>687420</x:v>
      </x:c>
      <x:c r="E18" s="20" t="str">
        <x:v>Alta</x:v>
      </x:c>
      <x:c r="F18" s="20" t="n">
        <x:v>0</x:v>
      </x:c>
      <x:c r="G18" s="20" t="str">
        <x:f>IF(OR(E18="Alta",D18&gt;=10000000),"Contacto directo ao decisor e reunião de fecho",IF(F18&gt;15,"Reactivar processo e solicitar decisão formal","Executar próxima acção e actualizar CRM"))</x:f>
        <x:v>Contacto directo ao decisor e reunião de fecho</x:v>
      </x:c>
      <x:c r="H18" s="20" t="str">
        <x:f>IF(OR(E18="Alta",D18&gt;=10000000),"48 horas","Até 5 dias úteis")</x:f>
        <x:v>48 horas</x:v>
      </x:c>
      <x:c r="I18" s="20" t="str">
        <x:f>IF(C18="Proposta em negociação","Obter PO, adjudicação ou data formal de decisão","Obter feedback e evolução do estado")</x:f>
        <x:v>Obter PO, adjudicação ou data formal de decisão</x:v>
      </x:c>
      <x:c r="J18" s="20" t="str">
        <x:v>Pendente</x:v>
      </x:c>
      <x:c r="K18" s="20" t="str"/>
    </x:row>
    <x:row r="19">
      <x:c r="A19" s="20" t="str">
        <x:v>KERO</x:v>
      </x:c>
      <x:c r="B19" s="20" t="str">
        <x:v>David Guedes</x:v>
      </x:c>
      <x:c r="C19" s="20" t="str">
        <x:v>Proposta enviada</x:v>
      </x:c>
      <x:c r="D19" s="22" t="n">
        <x:v>221160</x:v>
      </x:c>
      <x:c r="E19" s="20" t="str">
        <x:v>Normal</x:v>
      </x:c>
      <x:c r="F19" s="20" t="n">
        <x:v>0</x:v>
      </x:c>
      <x:c r="G19" s="20" t="str">
        <x:f>IF(OR(E19="Alta",D19&gt;=10000000),"Contacto directo ao decisor e reunião de fecho",IF(F19&gt;15,"Reactivar processo e solicitar decisão formal","Executar próxima acção e actualizar CRM"))</x:f>
        <x:v>Executar próxima acção e actualizar CRM</x:v>
      </x:c>
      <x:c r="H19" s="20" t="str">
        <x:f>IF(OR(E19="Alta",D19&gt;=10000000),"48 horas","Até 5 dias úteis")</x:f>
        <x:v>Até 5 dias úteis</x:v>
      </x:c>
      <x:c r="I19" s="20" t="str">
        <x:f>IF(C19="Proposta em negociação","Obter PO, adjudicação ou data formal de decisão","Obter feedback e evolução do estado")</x:f>
        <x:v>Obter feedback e evolução do estado</x:v>
      </x:c>
      <x:c r="J19" s="20" t="str">
        <x:v>Pendente</x:v>
      </x:c>
      <x:c r="K19" s="20" t="str"/>
    </x:row>
    <x:row r="20">
      <x:c r="A20" s="20" t="str">
        <x:v>OMATAPALO</x:v>
      </x:c>
      <x:c r="B20" s="20" t="str">
        <x:v>Ilídio Pedro</x:v>
      </x:c>
      <x:c r="C20" s="20" t="str">
        <x:v>Proposta enviada</x:v>
      </x:c>
      <x:c r="D20" s="22" t="n">
        <x:v>21909090</x:v>
      </x:c>
      <x:c r="E20" s="20" t="str">
        <x:v>Média</x:v>
      </x:c>
      <x:c r="F20" s="20" t="n">
        <x:v>4</x:v>
      </x:c>
      <x:c r="G20" s="20" t="str">
        <x:f>IF(OR(E20="Alta",D20&gt;=10000000),"Contacto directo ao decisor e reunião de fecho",IF(F20&gt;15,"Reactivar processo e solicitar decisão formal","Executar próxima acção e actualizar CRM"))</x:f>
        <x:v>Contacto directo ao decisor e reunião de fecho</x:v>
      </x:c>
      <x:c r="H20" s="20" t="str">
        <x:f>IF(OR(E20="Alta",D20&gt;=10000000),"48 horas","Até 5 dias úteis")</x:f>
        <x:v>48 horas</x:v>
      </x:c>
      <x:c r="I20" s="20" t="str">
        <x:f>IF(C20="Proposta em negociação","Obter PO, adjudicação ou data formal de decisão","Obter feedback e evolução do estado")</x:f>
        <x:v>Obter feedback e evolução do estado</x:v>
      </x:c>
      <x:c r="J20" s="20" t="str">
        <x:v>Pendente</x:v>
      </x:c>
      <x:c r="K20" s="20" t="str"/>
    </x:row>
    <x:row r="21">
      <x:c r="A21" s="20" t="str">
        <x:v>5 LINHAS</x:v>
      </x:c>
      <x:c r="B21" s="20" t="str">
        <x:v>Fernando Leite</x:v>
      </x:c>
      <x:c r="C21" s="20" t="str">
        <x:v>Proposta enviada</x:v>
      </x:c>
      <x:c r="D21" s="22" t="n">
        <x:v>8468775</x:v>
      </x:c>
      <x:c r="E21" s="20" t="str">
        <x:v>Média</x:v>
      </x:c>
      <x:c r="F21" s="20" t="n">
        <x:v>0</x:v>
      </x:c>
      <x:c r="G21" s="20" t="str">
        <x:f>IF(OR(E21="Alta",D21&gt;=10000000),"Contacto directo ao decisor e reunião de fecho",IF(F21&gt;15,"Reactivar processo e solicitar decisão formal","Executar próxima acção e actualizar CRM"))</x:f>
        <x:v>Executar próxima acção e actualizar CRM</x:v>
      </x:c>
      <x:c r="H21" s="20" t="str">
        <x:f>IF(OR(E21="Alta",D21&gt;=10000000),"48 horas","Até 5 dias úteis")</x:f>
        <x:v>Até 5 dias úteis</x:v>
      </x:c>
      <x:c r="I21" s="20" t="str">
        <x:f>IF(C21="Proposta em negociação","Obter PO, adjudicação ou data formal de decisão","Obter feedback e evolução do estado")</x:f>
        <x:v>Obter feedback e evolução do estado</x:v>
      </x:c>
      <x:c r="J21" s="20" t="str">
        <x:v>Pendente</x:v>
      </x:c>
      <x:c r="K21" s="20" t="str"/>
    </x:row>
    <x:row r="22">
      <x:c r="A22" s="20" t="str">
        <x:v>PEDRA PRECIOSA</x:v>
      </x:c>
      <x:c r="B22" s="20" t="str">
        <x:v>Fernando Leite</x:v>
      </x:c>
      <x:c r="C22" s="20" t="str">
        <x:v>Proposta em negociação</x:v>
      </x:c>
      <x:c r="D22" s="22" t="n">
        <x:v>251370</x:v>
      </x:c>
      <x:c r="E22" s="20" t="str">
        <x:v>Média</x:v>
      </x:c>
      <x:c r="F22" s="20" t="n">
        <x:v>3</x:v>
      </x:c>
      <x:c r="G22" s="20" t="str">
        <x:f>IF(OR(E22="Alta",D22&gt;=10000000),"Contacto directo ao decisor e reunião de fecho",IF(F22&gt;15,"Reactivar processo e solicitar decisão formal","Executar próxima acção e actualizar CRM"))</x:f>
        <x:v>Executar próxima acção e actualizar CRM</x:v>
      </x:c>
      <x:c r="H22" s="20" t="str">
        <x:f>IF(OR(E22="Alta",D22&gt;=10000000),"48 horas","Até 5 dias úteis")</x:f>
        <x:v>Até 5 dias úteis</x:v>
      </x:c>
      <x:c r="I22" s="20" t="str">
        <x:f>IF(C22="Proposta em negociação","Obter PO, adjudicação ou data formal de decisão","Obter feedback e evolução do estado")</x:f>
        <x:v>Obter PO, adjudicação ou data formal de decisão</x:v>
      </x:c>
      <x:c r="J22" s="20" t="str">
        <x:v>Pendente</x:v>
      </x:c>
      <x:c r="K22" s="20" t="str"/>
    </x:row>
    <x:row r="23">
      <x:c r="A23" s="20" t="str">
        <x:v>BAXTTER</x:v>
      </x:c>
      <x:c r="B23" s="20" t="str">
        <x:v>Fernando Leite</x:v>
      </x:c>
      <x:c r="C23" s="20" t="str">
        <x:v>Proposta enviada</x:v>
      </x:c>
      <x:c r="D23" s="22" t="n">
        <x:v>1657560</x:v>
      </x:c>
      <x:c r="E23" s="20" t="str">
        <x:v>Normal</x:v>
      </x:c>
      <x:c r="F23" s="20" t="n">
        <x:v>0</x:v>
      </x:c>
      <x:c r="G23" s="20" t="str">
        <x:f>IF(OR(E23="Alta",D23&gt;=10000000),"Contacto directo ao decisor e reunião de fecho",IF(F23&gt;15,"Reactivar processo e solicitar decisão formal","Executar próxima acção e actualizar CRM"))</x:f>
        <x:v>Executar próxima acção e actualizar CRM</x:v>
      </x:c>
      <x:c r="H23" s="20" t="str">
        <x:f>IF(OR(E23="Alta",D23&gt;=10000000),"48 horas","Até 5 dias úteis")</x:f>
        <x:v>Até 5 dias úteis</x:v>
      </x:c>
      <x:c r="I23" s="20" t="str">
        <x:f>IF(C23="Proposta em negociação","Obter PO, adjudicação ou data formal de decisão","Obter feedback e evolução do estado")</x:f>
        <x:v>Obter feedback e evolução do estado</x:v>
      </x:c>
      <x:c r="J23" s="20" t="str">
        <x:v>Pendente</x:v>
      </x:c>
      <x:c r="K23" s="20" t="str"/>
    </x:row>
  </x:sheetData>
  <x:mergeCells>
    <x:mergeCell ref="A1:K2"/>
  </x:mergeCells>
  <x:conditionalFormatting sqref="E5:E23">
    <x:cfRule type="expression" dxfId="3" priority="1">
      <x:formula>E5="Alta"</x:formula>
    </x:cfRule>
  </x:conditionalFormatting>
  <x:conditionalFormatting sqref="J5:J23">
    <x:cfRule type="expression" dxfId="4" priority="2">
      <x:formula>J5="Concluído"</x:formula>
    </x:cfRule>
  </x:conditionalFormatting>
  <x:dataValidations count="1">
    <x:dataValidation type="list" sqref="J5:J23">
      <x:formula1>"Pendente,Em curso,Concluído,Reagendado"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8" hidden="0" customWidth="1"/>
    <x:col min="3" max="3" width="18" hidden="0" customWidth="1"/>
    <x:col min="4" max="4" width="18" hidden="0" customWidth="1"/>
    <x:col min="5" max="5" width="16" hidden="0" customWidth="1"/>
  </x:cols>
  <x:sheetData>
    <x:row r="1">
      <x:c r="A1" s="32" t="str">
        <x:v>COMPARATIVO DAS DUAS SEMANAS</x:v>
      </x:c>
      <x:c r="B1" s="32"/>
      <x:c r="C1" s="32"/>
      <x:c r="D1" s="32"/>
      <x:c r="E1" s="32"/>
    </x:row>
    <x:row r="2">
      <x:c r="A2" s="32"/>
      <x:c r="B2" s="32"/>
      <x:c r="C2" s="32"/>
      <x:c r="D2" s="32"/>
      <x:c r="E2" s="32"/>
    </x:row>
    <x:row r="4">
      <x:c r="A4" s="6" t="str">
        <x:v>Indicador</x:v>
      </x:c>
      <x:c r="B4" s="6" t="str">
        <x:v>29 Jun–03 Jul</x:v>
      </x:c>
      <x:c r="C4" s="6" t="str">
        <x:v>06–10 Jul</x:v>
      </x:c>
      <x:c r="D4" s="6" t="str">
        <x:v>Variação</x:v>
      </x:c>
      <x:c r="E4" s="6" t="str">
        <x:v>Leitura</x:v>
      </x:c>
    </x:row>
    <x:row r="5">
      <x:c r="A5" t="str">
        <x:v>N.º de propostas</x:v>
      </x:c>
      <x:c r="B5" t="n">
        <x:f>COUNTIF(Base_Duas_Semanas!$A$2:$A$501,"Semana Anterior")</x:f>
        <x:v>30</x:v>
      </x:c>
      <x:c r="C5" t="n">
        <x:f>COUNTIF(Base_Duas_Semanas!$A$2:$A$501,"Semana Finda")</x:f>
        <x:v>31</x:v>
      </x:c>
      <x:c r="D5" s="36" t="n">
        <x:f>IFERROR((C5-B5)/B5,0)</x:f>
        <x:v>0.03333333333333333</x:v>
      </x:c>
      <x:c r="E5" t="str">
        <x:f>IF(D5&gt;0,"Mais propostas",IF(D5&lt;0,"Menos propostas","Estável"))</x:f>
        <x:v>Mais propostas</x:v>
      </x:c>
    </x:row>
    <x:row r="6">
      <x:c r="A6" t="str">
        <x:v>Valor total</x:v>
      </x:c>
      <x:c r="B6" s="14" t="n">
        <x:f>SUMIF(Base_Duas_Semanas!$A$2:$A$501,"Semana Anterior",Base_Duas_Semanas!$G$2:$G$501)</x:f>
        <x:v>124268576.96000001</x:v>
      </x:c>
      <x:c r="C6" s="14" t="n">
        <x:f>SUMIF(Base_Duas_Semanas!$A$2:$A$501,"Semana Finda",Base_Duas_Semanas!$G$2:$G$501)</x:f>
        <x:v>157928265.88</x:v>
      </x:c>
      <x:c r="D6" s="36" t="n">
        <x:f>IFERROR((C6-B6)/B6,0)</x:f>
        <x:v>0.2708624315448183</x:v>
      </x:c>
      <x:c r="E6" t="str">
        <x:f>IF(D6&gt;0,"Crescimento",IF(D6&lt;0,"Redução","Estável"))</x:f>
        <x:v>Crescimento</x:v>
      </x:c>
    </x:row>
    <x:row r="7">
      <x:c r="A7" t="str">
        <x:v>Valor aprovado</x:v>
      </x:c>
      <x:c r="B7" s="14" t="n">
        <x:f>SUMIF(Base_Duas_Semanas!$A$2:$A$501,"Semana Anterior",Base_Duas_Semanas!$H$2:$H$501)</x:f>
        <x:v>52451295</x:v>
      </x:c>
      <x:c r="C7" s="14" t="n">
        <x:f>SUMIF(Base_Duas_Semanas!$A$2:$A$501,"Semana Finda",Base_Duas_Semanas!$H$2:$H$501)</x:f>
        <x:v>19914950</x:v>
      </x:c>
      <x:c r="D7" s="36" t="n">
        <x:f>IFERROR((C7-B7)/B7,0)</x:f>
        <x:v>-0.6203153802017662</x:v>
      </x:c>
      <x:c r="E7" t="str">
        <x:f>IF(D7&gt;0,"Melhoria",IF(D7&lt;0,"Redução","Estável"))</x:f>
        <x:v>Redução</x:v>
      </x:c>
    </x:row>
    <x:row r="8">
      <x:c r="A8" t="str">
        <x:v>Valor perdido</x:v>
      </x:c>
      <x:c r="B8" s="14" t="n">
        <x:f>SUMIF(Base_Duas_Semanas!$A$2:$A$501,"Semana Anterior",Base_Duas_Semanas!$I$2:$I$501)</x:f>
        <x:v>0</x:v>
      </x:c>
      <x:c r="C8" s="14" t="n">
        <x:f>SUMIF(Base_Duas_Semanas!$A$2:$A$501,"Semana Finda",Base_Duas_Semanas!$I$2:$I$501)</x:f>
        <x:v>11779700</x:v>
      </x:c>
      <x:c r="D8" s="36" t="str">
        <x:f>IF(B8=0,IF(C8=0,0,""),(C8-B8)/B8)</x:f>
      </x:c>
      <x:c r="E8" t="str">
        <x:f>IF(AND(B8=0,C8&gt;0),"Atenção: surgiram perdas",IF(D8&gt;0,"Atenção: aumentou",IF(D8&lt;0,"Melhoria: reduziu","Estável")))</x:f>
        <x:v>Atenção: surgiram perdas</x:v>
      </x:c>
    </x:row>
    <x:row r="9">
      <x:c r="A9" t="str">
        <x:v>Forecast</x:v>
      </x:c>
      <x:c r="B9" s="14" t="n">
        <x:f>SUMIF(Base_Duas_Semanas!$A$2:$A$501,"Semana Anterior",Base_Duas_Semanas!$P$2:$P$501)</x:f>
        <x:v>86566959.644</x:v>
      </x:c>
      <x:c r="C9" s="14" t="n">
        <x:f>SUMIF(Base_Duas_Semanas!$A$2:$A$501,"Semana Finda",Base_Duas_Semanas!$P$2:$P$501)</x:f>
        <x:v>76353142.03999999</x:v>
      </x:c>
      <x:c r="D9" s="36" t="n">
        <x:f>IFERROR((C9-B9)/B9,0)</x:f>
        <x:v>-0.11798748212948158</x:v>
      </x:c>
      <x:c r="E9" t="str">
        <x:f>IF(D9&gt;0,"Melhoria",IF(D9&lt;0,"Redução","Estável"))</x:f>
        <x:v>Redução</x:v>
      </x:c>
    </x:row>
    <x:row r="10">
      <x:c r="A10" t="str">
        <x:v>Conversão</x:v>
      </x:c>
      <x:c r="B10" s="16" t="n">
        <x:f>IFERROR(B7/B6,0)</x:f>
        <x:v>0.4220801129547271</x:v>
      </x:c>
      <x:c r="C10" s="16" t="n">
        <x:f>IFERROR(C7/C6,0)</x:f>
        <x:v>0.12610123899626777</x:v>
      </x:c>
      <x:c r="D10" s="36" t="n">
        <x:f>IFERROR((C10-B10)/B10,0)</x:f>
        <x:v>-0.7012386153104694</x:v>
      </x:c>
      <x:c r="E10" t="str">
        <x:f>IF(D10&gt;0,"Melhoria",IF(D10&lt;0,"Redução","Estável"))</x:f>
        <x:v>Redução</x:v>
      </x:c>
    </x:row>
    <x:row r="11">
      <x:c r="A11" t="str">
        <x:v>Ticket médio</x:v>
      </x:c>
      <x:c r="B11" s="14" t="n">
        <x:f>IFERROR(B6/B5,0)</x:f>
        <x:v>4142285.898666667</x:v>
      </x:c>
      <x:c r="C11" s="14" t="n">
        <x:f>IFERROR(C6/C5,0)</x:f>
        <x:v>5094460.189677419</x:v>
      </x:c>
      <x:c r="D11" s="36" t="n">
        <x:f>IFERROR((C11-B11)/B11,0)</x:f>
        <x:v>0.22986686923692096</x:v>
      </x:c>
      <x:c r="E11" t="str">
        <x:f>IF(D11&gt;0,"Aumento",IF(D11&lt;0,"Redução","Estável"))</x:f>
        <x:v>Aumento</x:v>
      </x:c>
    </x:row>
  </x:sheetData>
  <x:mergeCells>
    <x:mergeCell ref="A1:E2"/>
  </x:mergeCells>
  <x:conditionalFormatting sqref="D5:D11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</x:cols>
  <x:sheetData>
    <x:row r="1">
      <x:c r="A1" s="6" t="str">
        <x:v>Comerciais</x:v>
      </x:c>
      <x:c r="B1" s="6" t="str">
        <x:v>Estados</x:v>
      </x:c>
      <x:c r="C1" s="6" t="str">
        <x:v>Probabilidade</x:v>
      </x:c>
      <x:c r="D1" s="6" t="str">
        <x:v>Prioridade</x:v>
      </x:c>
      <x:c r="E1" s="6" t="str">
        <x:v>Estado CRM</x:v>
      </x:c>
      <x:c r="G1" s="6" t="str">
        <x:v>Gestor Comercial</x:v>
      </x:c>
      <x:c r="H1" s="6" t="str">
        <x:v>Função</x:v>
      </x:c>
      <x:c r="I1" s="6" t="str">
        <x:v>Meta Mensal</x:v>
      </x:c>
      <x:c r="J1" s="6" t="str">
        <x:v>Meta Semanal</x:v>
      </x:c>
      <x:c r="K1" s="6" t="str">
        <x:v>Comissão %</x:v>
      </x:c>
      <x:c r="L1" s="6" t="str">
        <x:v>Peso Conversão</x:v>
      </x:c>
      <x:c r="M1" s="6" t="str">
        <x:v>Meta Sem. Actualizada</x:v>
      </x:c>
      <x:c r="N1" s="6" t="str">
        <x:v>Observações</x:v>
      </x:c>
    </x:row>
    <x:row r="2">
      <x:c r="A2" t="str">
        <x:v>Amélia Cassinda</x:v>
      </x:c>
      <x:c r="B2" t="str">
        <x:v>Proposta enviada</x:v>
      </x:c>
      <x:c r="C2" t="n">
        <x:v>0</x:v>
      </x:c>
      <x:c r="D2" t="str">
        <x:v>Alta</x:v>
      </x:c>
      <x:c r="E2" t="str">
        <x:v>Aberto</x:v>
      </x:c>
      <x:c r="G2" t="str">
        <x:v>Amélia Cassinda</x:v>
      </x:c>
      <x:c r="H2" t="str">
        <x:v>Sénior</x:v>
      </x:c>
      <x:c r="I2" t="n">
        <x:v>25000000</x:v>
      </x:c>
      <x:c r="J2" t="n">
        <x:v>6250000</x:v>
      </x:c>
      <x:c r="K2" t="n">
        <x:v>0.03</x:v>
      </x:c>
      <x:c r="L2" t="n">
        <x:v>0.4</x:v>
      </x:c>
      <x:c r="M2" t="n">
        <x:v>6250000</x:v>
      </x:c>
      <x:c r="N2" t="str">
        <x:v>Meta actualizada a conjugar com comparativo semanal</x:v>
      </x:c>
    </x:row>
    <x:row r="3">
      <x:c r="A3" t="str">
        <x:v>David Guedes</x:v>
      </x:c>
      <x:c r="B3" t="str">
        <x:v>Proposta em negociação</x:v>
      </x:c>
      <x:c r="C3" t="n">
        <x:v>0.2</x:v>
      </x:c>
      <x:c r="D3" t="str">
        <x:v>Média</x:v>
      </x:c>
      <x:c r="E3" t="str">
        <x:v>Fechado ganho</x:v>
      </x:c>
      <x:c r="G3" t="str">
        <x:v>David Guedes</x:v>
      </x:c>
      <x:c r="H3" t="str">
        <x:v>Comercial</x:v>
      </x:c>
      <x:c r="I3" t="n">
        <x:v>15000000</x:v>
      </x:c>
      <x:c r="J3" t="n">
        <x:v>3750000</x:v>
      </x:c>
      <x:c r="K3" t="n">
        <x:v>0.03</x:v>
      </x:c>
      <x:c r="L3" t="n">
        <x:v>0.4</x:v>
      </x:c>
      <x:c r="M3" t="n">
        <x:v>3750000</x:v>
      </x:c>
      <x:c r="N3" t="str">
        <x:v>Meta actualizada a conjugar com comparativo semanal</x:v>
      </x:c>
    </x:row>
    <x:row r="4">
      <x:c r="A4" t="str">
        <x:v>Fernando Leite</x:v>
      </x:c>
      <x:c r="B4" t="str">
        <x:v>Proposta aprovada</x:v>
      </x:c>
      <x:c r="C4" t="n">
        <x:v>0.3</x:v>
      </x:c>
      <x:c r="D4" t="str">
        <x:v>Normal</x:v>
      </x:c>
      <x:c r="E4" t="str">
        <x:v>Fechado perdido</x:v>
      </x:c>
      <x:c r="G4" t="str">
        <x:v>Fernando Leite</x:v>
      </x:c>
      <x:c r="H4" t="str">
        <x:v>Comercial</x:v>
      </x:c>
      <x:c r="I4" t="n">
        <x:v>10000000</x:v>
      </x:c>
      <x:c r="J4" t="n">
        <x:v>2500000</x:v>
      </x:c>
      <x:c r="K4" t="n">
        <x:v>0.03</x:v>
      </x:c>
      <x:c r="L4" t="n">
        <x:v>0.4</x:v>
      </x:c>
      <x:c r="M4" t="n">
        <x:v>2500000</x:v>
      </x:c>
      <x:c r="N4" t="str">
        <x:v>Meta actualizada a conjugar com comparativo semanal</x:v>
      </x:c>
    </x:row>
    <x:row r="5">
      <x:c r="A5" t="str">
        <x:v>José Neto</x:v>
      </x:c>
      <x:c r="B5" t="str">
        <x:v>Produção / Entrega</x:v>
      </x:c>
      <x:c r="C5" t="n">
        <x:v>0.4</x:v>
      </x:c>
      <x:c r="D5" t="str">
        <x:v>Baixa</x:v>
      </x:c>
      <x:c r="E5"/>
      <x:c r="G5" t="str">
        <x:v>José Neto</x:v>
      </x:c>
      <x:c r="H5" t="str">
        <x:v>Sénior</x:v>
      </x:c>
      <x:c r="I5" t="n">
        <x:v>20000000</x:v>
      </x:c>
      <x:c r="J5" t="n">
        <x:v>5000000</x:v>
      </x:c>
      <x:c r="K5" t="n">
        <x:v>0.03</x:v>
      </x:c>
      <x:c r="L5" t="n">
        <x:v>0.4</x:v>
      </x:c>
      <x:c r="M5" t="n">
        <x:v>5000000</x:v>
      </x:c>
      <x:c r="N5" t="str">
        <x:v>Meta actualizada a conjugar com comparativo semanal</x:v>
      </x:c>
    </x:row>
    <x:row r="6">
      <x:c r="A6" t="str">
        <x:v>Marta de Oliveira</x:v>
      </x:c>
      <x:c r="B6" t="str">
        <x:v>Perdida</x:v>
      </x:c>
      <x:c r="C6" t="n">
        <x:v>0.5</x:v>
      </x:c>
      <x:c r="D6"/>
      <x:c r="E6"/>
      <x:c r="G6" t="str">
        <x:v>Marta de Oliveira</x:v>
      </x:c>
      <x:c r="H6" t="str">
        <x:v>Sénior</x:v>
      </x:c>
      <x:c r="I6" t="n">
        <x:v>25000000</x:v>
      </x:c>
      <x:c r="J6" t="n">
        <x:v>6250000</x:v>
      </x:c>
      <x:c r="K6" t="n">
        <x:v>0.03</x:v>
      </x:c>
      <x:c r="L6" t="n">
        <x:v>0.4</x:v>
      </x:c>
      <x:c r="M6" t="n">
        <x:v>6250000</x:v>
      </x:c>
      <x:c r="N6" t="str">
        <x:v>Meta actualizada a conjugar com comparativo semanal</x:v>
      </x:c>
    </x:row>
    <x:row r="7">
      <x:c r="A7" t="str">
        <x:v>Ilídio Pedro</x:v>
      </x:c>
      <x:c r="B7"/>
      <x:c r="C7" t="n">
        <x:v>0.6</x:v>
      </x:c>
      <x:c r="D7"/>
      <x:c r="E7"/>
      <x:c r="G7" t="str">
        <x:v>Ilídio Pedro</x:v>
      </x:c>
      <x:c r="H7" t="str">
        <x:v>Comercial</x:v>
      </x:c>
      <x:c r="I7" t="n">
        <x:v>10000000</x:v>
      </x:c>
      <x:c r="J7" t="n">
        <x:v>2500000</x:v>
      </x:c>
      <x:c r="K7" t="n">
        <x:v>0.03</x:v>
      </x:c>
      <x:c r="L7" t="n">
        <x:v>0.4</x:v>
      </x:c>
      <x:c r="M7" t="n">
        <x:v>2500000</x:v>
      </x:c>
      <x:c r="N7" t="str">
        <x:v>Meta actualizada a conjugar com comparativo semanal</x:v>
      </x:c>
    </x:row>
    <x:row r="8">
      <x:c r="A8" t="str">
        <x:v>Luiza Baltazar</x:v>
      </x:c>
      <x:c r="B8"/>
      <x:c r="C8" t="n">
        <x:v>0.7</x:v>
      </x:c>
      <x:c r="D8"/>
      <x:c r="E8"/>
      <x:c r="G8" t="str">
        <x:v>Luiza Baltazar</x:v>
      </x:c>
      <x:c r="H8" t="str">
        <x:v>Sénior EDGER</x:v>
      </x:c>
      <x:c r="I8" t="n">
        <x:v>30000000</x:v>
      </x:c>
      <x:c r="J8" t="n">
        <x:v>7500000</x:v>
      </x:c>
      <x:c r="K8" t="n">
        <x:v>0.03</x:v>
      </x:c>
      <x:c r="L8" t="n">
        <x:v>0.4</x:v>
      </x:c>
      <x:c r="M8" t="n">
        <x:v>7500000</x:v>
      </x:c>
      <x:c r="N8" t="str">
        <x:v>Meta actualizada a conjugar com comparativo semanal</x:v>
      </x:c>
    </x:row>
    <x:row r="9">
      <x:c r="A9"/>
      <x:c r="B9"/>
      <x:c r="C9" t="n">
        <x:v>0.8</x:v>
      </x:c>
      <x:c r="D9"/>
      <x:c r="E9"/>
    </x:row>
    <x:row r="10">
      <x:c r="A10"/>
      <x:c r="B10"/>
      <x:c r="C10" t="n">
        <x:v>0.9</x:v>
      </x:c>
      <x:c r="D10"/>
      <x:c r="E10"/>
    </x:row>
    <x:row r="11">
      <x:c r="A11"/>
      <x:c r="B11"/>
      <x:c r="C11" t="n">
        <x:v>1</x:v>
      </x:c>
      <x:c r="D11"/>
      <x:c r="E11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95" hidden="0" customWidth="1"/>
  </x:cols>
  <x:sheetData>
    <x:row r="1">
      <x:c r="A1" s="32" t="str">
        <x:v>MANUAL RÁPIDO – DASHBOARD COMERCIAL V5.0</x:v>
      </x:c>
      <x:c r="B1" s="32"/>
      <x:c r="C1" s="32"/>
      <x:c r="D1" s="32"/>
      <x:c r="E1" s="32"/>
      <x:c r="F1" s="32"/>
    </x:row>
    <x:row r="2">
      <x:c r="A2" s="32"/>
      <x:c r="B2" s="32"/>
      <x:c r="C2" s="32"/>
      <x:c r="D2" s="32"/>
      <x:c r="E2" s="32"/>
      <x:c r="F2" s="32"/>
    </x:row>
    <x:row r="4">
      <x:c r="A4" s="6" t="str">
        <x:v>Passo</x:v>
      </x:c>
      <x:c r="B4" s="6" t="str">
        <x:v>Como utilizar</x:v>
      </x:c>
    </x:row>
    <x:row r="5">
      <x:c r="A5" s="20" t="str">
        <x:v>1</x:v>
      </x:c>
      <x:c r="B5" s="20" t="str">
        <x:v>Preencher novas propostas na folha Base_Duas_Semanas, uma proposta por linha.</x:v>
      </x:c>
    </x:row>
    <x:row r="6">
      <x:c r="A6" s="20" t="str">
        <x:v>2</x:v>
      </x:c>
      <x:c r="B6" s="20" t="str">
        <x:v>Usar as listas suspensas para Estado, Probabilidade, Comercial, Prioridade e Estado CRM.</x:v>
      </x:c>
    </x:row>
    <x:row r="7">
      <x:c r="A7" s="20" t="str">
        <x:v>3</x:v>
      </x:c>
      <x:c r="B7" s="20" t="str">
        <x:v>No início de uma nova semana, alterar os registos anteriores para Semana Anterior e inserir os novos como Semana Finda.</x:v>
      </x:c>
    </x:row>
    <x:row r="8">
      <x:c r="A8" s="20" t="str">
        <x:v>4</x:v>
      </x:c>
      <x:c r="B8" s="20" t="str">
        <x:v>As metas semanais são preenchidas automaticamente a partir da V7.0.</x:v>
      </x:c>
    </x:row>
    <x:row r="9">
      <x:c r="A9" s="20" t="str">
        <x:v>5</x:v>
      </x:c>
      <x:c r="B9" s="20" t="str">
        <x:v>Consultar o Dashboard_V5 para KPIs, gráficos, comparativo e metas.</x:v>
      </x:c>
    </x:row>
    <x:row r="10">
      <x:c r="A10" s="20" t="str">
        <x:v>6</x:v>
      </x:c>
      <x:c r="B10" s="20" t="str">
        <x:v>Consultar CRM_Proxima_Semana e actualizar o acompanhamento de cada cliente.</x:v>
      </x:c>
    </x:row>
  </x:sheetData>
  <x:mergeCells>
    <x:mergeCell ref="A1:F2"/>
  </x:mergeCells>
  <x:pageMargins left="0.7" right="0.7" top="0.75" bottom="0.75" header="0.3" footer="0.3"/>
</x:worksheet>
</file>